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B045678E-9BD9-4453-B51F-CA517738B738}" xr6:coauthVersionLast="47" xr6:coauthVersionMax="47" xr10:uidLastSave="{00000000-0000-0000-0000-000000000000}"/>
  <bookViews>
    <workbookView xWindow="-120" yWindow="-120" windowWidth="20730" windowHeight="11040" firstSheet="1" activeTab="1" xr2:uid="{51658058-8315-A640-B733-1DFC39D6EEC8}"/>
  </bookViews>
  <sheets>
    <sheet name="Executive Dashboard" sheetId="10" r:id="rId1"/>
    <sheet name="Budget Dashboard" sheetId="6" r:id="rId2"/>
    <sheet name="Monthly Budget" sheetId="2" r:id="rId3"/>
    <sheet name="Net Worth" sheetId="3" r:id="rId4"/>
    <sheet name="Weekly Review" sheetId="4" r:id="rId5"/>
    <sheet name="Principles" sheetId="5" r:id="rId6"/>
    <sheet name="Transactions" sheetId="7" r:id="rId7"/>
    <sheet name="Contract &amp; Runway" sheetId="8" r:id="rId8"/>
    <sheet name="Goals &amp; FIR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  <c r="E9" i="9"/>
  <c r="B4" i="2"/>
  <c r="O6" i="6" s="1"/>
  <c r="S7" i="10"/>
  <c r="S6" i="10"/>
  <c r="S5" i="10"/>
  <c r="S4" i="10"/>
  <c r="S3" i="10"/>
  <c r="N3" i="10"/>
  <c r="L3" i="10"/>
  <c r="B9" i="10"/>
  <c r="D31" i="6"/>
  <c r="D36" i="6" s="1"/>
  <c r="D26" i="6"/>
  <c r="D25" i="6"/>
  <c r="D24" i="6"/>
  <c r="D23" i="6"/>
  <c r="D22" i="6"/>
  <c r="D21" i="6"/>
  <c r="D20" i="6"/>
  <c r="D19" i="6"/>
  <c r="D14" i="6"/>
  <c r="D13" i="6"/>
  <c r="E8" i="9"/>
  <c r="C5" i="9"/>
  <c r="D5" i="9" s="1"/>
  <c r="C8" i="8"/>
  <c r="C7" i="8"/>
  <c r="I20" i="3"/>
  <c r="I19" i="3"/>
  <c r="I18" i="3"/>
  <c r="I17" i="3"/>
  <c r="I16" i="3"/>
  <c r="I15" i="3"/>
  <c r="I14" i="3"/>
  <c r="I13" i="3"/>
  <c r="I12" i="3"/>
  <c r="I11" i="3"/>
  <c r="I10" i="3"/>
  <c r="A10" i="3"/>
  <c r="N4" i="10" s="1"/>
  <c r="G9" i="3"/>
  <c r="I9" i="3" s="1"/>
  <c r="B9" i="3"/>
  <c r="O3" i="10" s="1"/>
  <c r="B24" i="2"/>
  <c r="X29" i="6" s="1"/>
  <c r="B20" i="2"/>
  <c r="W31" i="6" s="1"/>
  <c r="B9" i="2"/>
  <c r="U32" i="6" s="1"/>
  <c r="U18" i="6"/>
  <c r="T18" i="6"/>
  <c r="U17" i="6"/>
  <c r="T17" i="6"/>
  <c r="U16" i="6"/>
  <c r="T16" i="6"/>
  <c r="T15" i="6"/>
  <c r="T11" i="6"/>
  <c r="T10" i="6"/>
  <c r="T9" i="6"/>
  <c r="T8" i="6"/>
  <c r="T7" i="6"/>
  <c r="U4" i="6"/>
  <c r="T4" i="6"/>
  <c r="T3" i="6"/>
  <c r="T2" i="6"/>
  <c r="A11" i="3" l="1"/>
  <c r="L4" i="10"/>
  <c r="N10" i="3"/>
  <c r="O10" i="3" s="1"/>
  <c r="N11" i="3"/>
  <c r="O11" i="3" s="1"/>
  <c r="L10" i="3"/>
  <c r="V22" i="6"/>
  <c r="U31" i="6"/>
  <c r="V24" i="6"/>
  <c r="V31" i="6"/>
  <c r="U27" i="6"/>
  <c r="X31" i="6"/>
  <c r="U29" i="6"/>
  <c r="V29" i="6"/>
  <c r="V30" i="6"/>
  <c r="V27" i="6"/>
  <c r="V32" i="6"/>
  <c r="C14" i="8"/>
  <c r="V28" i="6"/>
  <c r="B6" i="10"/>
  <c r="C4" i="3"/>
  <c r="T3" i="10"/>
  <c r="F5" i="9"/>
  <c r="W21" i="6"/>
  <c r="W23" i="6"/>
  <c r="W25" i="6"/>
  <c r="X21" i="6"/>
  <c r="X23" i="6"/>
  <c r="X25" i="6"/>
  <c r="W28" i="6"/>
  <c r="W30" i="6"/>
  <c r="W32" i="6"/>
  <c r="L5" i="10"/>
  <c r="N5" i="10"/>
  <c r="C9" i="8"/>
  <c r="C15" i="8" s="1"/>
  <c r="C8" i="9" s="1"/>
  <c r="C7" i="9"/>
  <c r="D7" i="9" s="1"/>
  <c r="U22" i="6"/>
  <c r="U24" i="6"/>
  <c r="U26" i="6"/>
  <c r="X28" i="6"/>
  <c r="X30" i="6"/>
  <c r="X32" i="6"/>
  <c r="W22" i="6"/>
  <c r="W24" i="6"/>
  <c r="X22" i="6"/>
  <c r="X24" i="6"/>
  <c r="W27" i="6"/>
  <c r="W29" i="6"/>
  <c r="F9" i="3"/>
  <c r="J9" i="3" s="1"/>
  <c r="U21" i="6"/>
  <c r="U23" i="6"/>
  <c r="U25" i="6"/>
  <c r="X27" i="6"/>
  <c r="C6" i="9"/>
  <c r="D6" i="9" s="1"/>
  <c r="V21" i="6"/>
  <c r="V23" i="6"/>
  <c r="V25" i="6"/>
  <c r="U28" i="6"/>
  <c r="U30" i="6"/>
  <c r="C15" i="2"/>
  <c r="D15" i="2" s="1"/>
  <c r="C16" i="2"/>
  <c r="D16" i="2" s="1"/>
  <c r="C17" i="2"/>
  <c r="D17" i="2" s="1"/>
  <c r="C18" i="2"/>
  <c r="D18" i="2" s="1"/>
  <c r="C7" i="2"/>
  <c r="C13" i="6" s="1"/>
  <c r="E13" i="6" s="1"/>
  <c r="C8" i="2"/>
  <c r="C14" i="6" s="1"/>
  <c r="E14" i="6" s="1"/>
  <c r="F6" i="2"/>
  <c r="H6" i="2" s="1"/>
  <c r="C12" i="2"/>
  <c r="Q3" i="10" s="1"/>
  <c r="B10" i="6"/>
  <c r="C13" i="2"/>
  <c r="D13" i="2" s="1"/>
  <c r="I10" i="6"/>
  <c r="C19" i="2"/>
  <c r="D19" i="2" s="1"/>
  <c r="C23" i="2"/>
  <c r="C24" i="2" s="1"/>
  <c r="H6" i="10" s="1"/>
  <c r="C14" i="2"/>
  <c r="D14" i="2" s="1"/>
  <c r="O5" i="6"/>
  <c r="F9" i="10"/>
  <c r="D28" i="6"/>
  <c r="D16" i="6"/>
  <c r="A12" i="3" l="1"/>
  <c r="L11" i="3"/>
  <c r="C9" i="9"/>
  <c r="D9" i="9" s="1"/>
  <c r="N9" i="3"/>
  <c r="O9" i="3" s="1"/>
  <c r="M9" i="3"/>
  <c r="C23" i="6"/>
  <c r="F23" i="6" s="1"/>
  <c r="F6" i="9"/>
  <c r="T4" i="10"/>
  <c r="M3" i="10"/>
  <c r="D6" i="10"/>
  <c r="C16" i="9"/>
  <c r="F7" i="9"/>
  <c r="T5" i="10"/>
  <c r="Q4" i="10"/>
  <c r="C22" i="6"/>
  <c r="F22" i="6" s="1"/>
  <c r="U3" i="6"/>
  <c r="G13" i="6"/>
  <c r="C25" i="6"/>
  <c r="E25" i="6" s="1"/>
  <c r="G14" i="6"/>
  <c r="U2" i="6"/>
  <c r="C24" i="6"/>
  <c r="E24" i="6" s="1"/>
  <c r="D7" i="2"/>
  <c r="C19" i="6"/>
  <c r="G19" i="6" s="1"/>
  <c r="F13" i="6"/>
  <c r="D8" i="2"/>
  <c r="C9" i="2"/>
  <c r="V26" i="6" s="1"/>
  <c r="D12" i="2"/>
  <c r="C16" i="6"/>
  <c r="E16" i="6" s="1"/>
  <c r="F14" i="6"/>
  <c r="Q5" i="10"/>
  <c r="G6" i="2"/>
  <c r="C21" i="6"/>
  <c r="F21" i="6" s="1"/>
  <c r="C26" i="6"/>
  <c r="E26" i="6" s="1"/>
  <c r="I6" i="2"/>
  <c r="F7" i="2"/>
  <c r="C30" i="2"/>
  <c r="D23" i="2"/>
  <c r="Q6" i="10"/>
  <c r="C31" i="6"/>
  <c r="C20" i="2"/>
  <c r="D20" i="2" s="1"/>
  <c r="D24" i="2"/>
  <c r="X26" i="6"/>
  <c r="C20" i="6"/>
  <c r="U8" i="6" s="1"/>
  <c r="F25" i="6"/>
  <c r="G22" i="6" l="1"/>
  <c r="N12" i="3"/>
  <c r="O12" i="3" s="1"/>
  <c r="N6" i="10"/>
  <c r="L6" i="10"/>
  <c r="L12" i="3"/>
  <c r="A13" i="3"/>
  <c r="T7" i="10"/>
  <c r="F9" i="9"/>
  <c r="E23" i="6"/>
  <c r="G23" i="6"/>
  <c r="U10" i="6"/>
  <c r="U11" i="6"/>
  <c r="E22" i="6"/>
  <c r="C28" i="2"/>
  <c r="F6" i="10" s="1"/>
  <c r="G16" i="6"/>
  <c r="E20" i="6"/>
  <c r="G25" i="6"/>
  <c r="U7" i="6"/>
  <c r="G24" i="6"/>
  <c r="E19" i="6"/>
  <c r="F24" i="6"/>
  <c r="K6" i="2"/>
  <c r="G26" i="6"/>
  <c r="F16" i="6"/>
  <c r="C27" i="2"/>
  <c r="F6" i="6" s="1"/>
  <c r="D6" i="6"/>
  <c r="D9" i="2"/>
  <c r="G21" i="6"/>
  <c r="U12" i="6"/>
  <c r="F19" i="6"/>
  <c r="E21" i="6"/>
  <c r="U9" i="6"/>
  <c r="F26" i="6"/>
  <c r="J6" i="2"/>
  <c r="H7" i="2"/>
  <c r="G7" i="2"/>
  <c r="F8" i="2"/>
  <c r="I7" i="2"/>
  <c r="B10" i="3"/>
  <c r="C19" i="8"/>
  <c r="D19" i="8" s="1"/>
  <c r="E31" i="6"/>
  <c r="G31" i="6"/>
  <c r="G36" i="6" s="1"/>
  <c r="C36" i="6"/>
  <c r="E36" i="6" s="1"/>
  <c r="U15" i="6"/>
  <c r="F20" i="6"/>
  <c r="G20" i="6"/>
  <c r="C12" i="9"/>
  <c r="C13" i="9" s="1"/>
  <c r="C15" i="9" s="1"/>
  <c r="C17" i="9" s="1"/>
  <c r="F31" i="6"/>
  <c r="F36" i="6" s="1"/>
  <c r="W26" i="6"/>
  <c r="C28" i="6"/>
  <c r="E28" i="6" s="1"/>
  <c r="N13" i="3" l="1"/>
  <c r="O13" i="3" s="1"/>
  <c r="A14" i="3"/>
  <c r="L13" i="3"/>
  <c r="L7" i="10"/>
  <c r="N7" i="10"/>
  <c r="I6" i="6"/>
  <c r="F28" i="6"/>
  <c r="G28" i="6"/>
  <c r="K7" i="2"/>
  <c r="J7" i="2"/>
  <c r="C20" i="8"/>
  <c r="C10" i="8"/>
  <c r="C11" i="8" s="1"/>
  <c r="C21" i="8"/>
  <c r="F9" i="2"/>
  <c r="H8" i="2"/>
  <c r="I8" i="2"/>
  <c r="G8" i="2"/>
  <c r="C16" i="8"/>
  <c r="D9" i="10" s="1"/>
  <c r="E19" i="8"/>
  <c r="F10" i="3"/>
  <c r="J10" i="3" s="1"/>
  <c r="O4" i="10"/>
  <c r="B11" i="3"/>
  <c r="N14" i="3" l="1"/>
  <c r="O14" i="3" s="1"/>
  <c r="L14" i="3"/>
  <c r="A15" i="3"/>
  <c r="L8" i="10"/>
  <c r="N8" i="10"/>
  <c r="M4" i="10"/>
  <c r="M10" i="3"/>
  <c r="D20" i="8"/>
  <c r="B8" i="9"/>
  <c r="D8" i="9" s="1"/>
  <c r="E20" i="8"/>
  <c r="E21" i="8"/>
  <c r="D21" i="8"/>
  <c r="J8" i="2"/>
  <c r="K8" i="2"/>
  <c r="I9" i="2"/>
  <c r="H9" i="2"/>
  <c r="G9" i="2"/>
  <c r="F10" i="2"/>
  <c r="B12" i="3"/>
  <c r="O5" i="10"/>
  <c r="F11" i="3"/>
  <c r="J11" i="3" s="1"/>
  <c r="A16" i="3" l="1"/>
  <c r="N9" i="10"/>
  <c r="L15" i="3"/>
  <c r="L9" i="10"/>
  <c r="N15" i="3"/>
  <c r="O15" i="3" s="1"/>
  <c r="M5" i="10"/>
  <c r="M11" i="3"/>
  <c r="T6" i="10"/>
  <c r="F8" i="9"/>
  <c r="J9" i="2"/>
  <c r="G10" i="2"/>
  <c r="F11" i="2"/>
  <c r="I10" i="2"/>
  <c r="H10" i="2"/>
  <c r="K9" i="2"/>
  <c r="B13" i="3"/>
  <c r="O6" i="10"/>
  <c r="F12" i="3"/>
  <c r="J12" i="3" s="1"/>
  <c r="A17" i="3" l="1"/>
  <c r="N16" i="3"/>
  <c r="O16" i="3" s="1"/>
  <c r="L16" i="3"/>
  <c r="M6" i="10"/>
  <c r="M12" i="3"/>
  <c r="K10" i="2"/>
  <c r="H11" i="2"/>
  <c r="F12" i="2"/>
  <c r="G11" i="2"/>
  <c r="I11" i="2"/>
  <c r="J10" i="2"/>
  <c r="O7" i="10"/>
  <c r="F13" i="3"/>
  <c r="J13" i="3" s="1"/>
  <c r="B14" i="3"/>
  <c r="N17" i="3" l="1"/>
  <c r="O17" i="3" s="1"/>
  <c r="L17" i="3"/>
  <c r="A18" i="3"/>
  <c r="M7" i="10"/>
  <c r="M13" i="3"/>
  <c r="J11" i="2"/>
  <c r="K11" i="2"/>
  <c r="F13" i="2"/>
  <c r="I12" i="2"/>
  <c r="G12" i="2"/>
  <c r="H12" i="2"/>
  <c r="O8" i="10"/>
  <c r="B15" i="3"/>
  <c r="F14" i="3"/>
  <c r="J14" i="3" s="1"/>
  <c r="A19" i="3" l="1"/>
  <c r="L18" i="3"/>
  <c r="N18" i="3"/>
  <c r="O18" i="3" s="1"/>
  <c r="M8" i="10"/>
  <c r="M14" i="3"/>
  <c r="K12" i="2"/>
  <c r="J12" i="2"/>
  <c r="F14" i="2"/>
  <c r="I13" i="2"/>
  <c r="H13" i="2"/>
  <c r="G13" i="2"/>
  <c r="O9" i="10"/>
  <c r="B16" i="3"/>
  <c r="F15" i="3"/>
  <c r="J15" i="3" s="1"/>
  <c r="M15" i="3" s="1"/>
  <c r="N19" i="3" l="1"/>
  <c r="O19" i="3" s="1"/>
  <c r="L19" i="3"/>
  <c r="A20" i="3"/>
  <c r="K13" i="2"/>
  <c r="F15" i="2"/>
  <c r="G14" i="2"/>
  <c r="I14" i="2"/>
  <c r="H14" i="2"/>
  <c r="J13" i="2"/>
  <c r="H9" i="10"/>
  <c r="M9" i="10"/>
  <c r="F16" i="3"/>
  <c r="J16" i="3" s="1"/>
  <c r="M16" i="3" s="1"/>
  <c r="B17" i="3"/>
  <c r="N20" i="3" l="1"/>
  <c r="O20" i="3" s="1"/>
  <c r="L20" i="3"/>
  <c r="K14" i="2"/>
  <c r="J14" i="2"/>
  <c r="F16" i="2"/>
  <c r="H15" i="2"/>
  <c r="I15" i="2"/>
  <c r="G15" i="2"/>
  <c r="B18" i="3"/>
  <c r="F17" i="3"/>
  <c r="J17" i="3" s="1"/>
  <c r="M17" i="3" s="1"/>
  <c r="J15" i="2" l="1"/>
  <c r="K15" i="2"/>
  <c r="H16" i="2"/>
  <c r="G16" i="2"/>
  <c r="F17" i="2"/>
  <c r="I16" i="2"/>
  <c r="B19" i="3"/>
  <c r="F18" i="3"/>
  <c r="J18" i="3" s="1"/>
  <c r="M18" i="3" s="1"/>
  <c r="K16" i="2" l="1"/>
  <c r="H17" i="2"/>
  <c r="I17" i="2"/>
  <c r="G17" i="2"/>
  <c r="J16" i="2"/>
  <c r="B20" i="3"/>
  <c r="F20" i="3" s="1"/>
  <c r="J20" i="3" s="1"/>
  <c r="M20" i="3" s="1"/>
  <c r="F19" i="3"/>
  <c r="J19" i="3" s="1"/>
  <c r="M19" i="3" s="1"/>
  <c r="J17" i="2" l="1"/>
  <c r="K17" i="2"/>
</calcChain>
</file>

<file path=xl/sharedStrings.xml><?xml version="1.0" encoding="utf-8"?>
<sst xmlns="http://schemas.openxmlformats.org/spreadsheetml/2006/main" count="262" uniqueCount="181">
  <si>
    <t>Monthly Budget</t>
  </si>
  <si>
    <t>INCOME</t>
  </si>
  <si>
    <t>Salary</t>
  </si>
  <si>
    <t>Total Income</t>
  </si>
  <si>
    <t>Food</t>
  </si>
  <si>
    <t>Total Expenses</t>
  </si>
  <si>
    <t>Savings Rate</t>
  </si>
  <si>
    <t>Net Worth</t>
  </si>
  <si>
    <t>Cash</t>
  </si>
  <si>
    <t>Savings</t>
  </si>
  <si>
    <t>Investments</t>
  </si>
  <si>
    <t>Total Assets</t>
  </si>
  <si>
    <t>NET WORTH</t>
  </si>
  <si>
    <t>SAVINGS RATE</t>
  </si>
  <si>
    <t>EMERGENCY FUND</t>
  </si>
  <si>
    <t>Weekly Finance Review</t>
  </si>
  <si>
    <t>Every Sunday · 15 minutes · mark a ✓ in each week's column</t>
  </si>
  <si>
    <t>15-MINUTE CHECKLIST</t>
  </si>
  <si>
    <t>Wk 1</t>
  </si>
  <si>
    <t>Wk 2</t>
  </si>
  <si>
    <t>Wk 3</t>
  </si>
  <si>
    <t>Wk 4</t>
  </si>
  <si>
    <t>Wk 5</t>
  </si>
  <si>
    <t>1.  Check bank balances</t>
  </si>
  <si>
    <t>2.  Review spending</t>
  </si>
  <si>
    <t>3.  Update net worth</t>
  </si>
  <si>
    <t>4.  Ensure bills are paid</t>
  </si>
  <si>
    <t>5.  Invest any excess cash</t>
  </si>
  <si>
    <t>ASK YOURSELF</t>
  </si>
  <si>
    <t>•  Did I spend on things I value?</t>
  </si>
  <si>
    <t>•  Did I buy anything impulsively?</t>
  </si>
  <si>
    <t>•  Am I moving toward financial freedom?</t>
  </si>
  <si>
    <t>Notes for this week</t>
  </si>
  <si>
    <t>“Do not save what is left after spending; spend what is left after saving.”   — Warren Buffett</t>
  </si>
  <si>
    <t>Principles &amp; Playbook</t>
  </si>
  <si>
    <t>Timeless advice from investors who compounded for decades</t>
  </si>
  <si>
    <t>THE GREAT WEALTH FORMULA</t>
  </si>
  <si>
    <t>Income  ×  Savings Rate  ×  Time  ×  Good Decisions</t>
  </si>
  <si>
    <t>Not in the formula:  perfect stock picking  ·  getting rich quickly  ·  constant trading</t>
  </si>
  <si>
    <t>Warren Buffett</t>
  </si>
  <si>
    <t>•  Spend less than you earn
•  Invest consistently
•  Avoid debt when possible
•  Buy assets, not status</t>
  </si>
  <si>
    <t>Charlie Munger</t>
  </si>
  <si>
    <t>•  Avoid stupid mistakes
•  Be patient
•  Read constantly
•  Think long term</t>
  </si>
  <si>
    <t>Benjamin Graham</t>
  </si>
  <si>
    <t>•  Protect yourself from emotional decisions
•  Invest systematically
•  Focus on value, not hype</t>
  </si>
  <si>
    <t>John C. Bogle</t>
  </si>
  <si>
    <t>•  Keep fees low
•  Use broad index funds
•  Stay invested for decades</t>
  </si>
  <si>
    <t>Morgan Housel</t>
  </si>
  <si>
    <t>•  Wealth is what you don't spend
•  Success is behavior, not intelligence
•  Flexibility is a financial superpower</t>
  </si>
  <si>
    <t>Simple Rules That Work</t>
  </si>
  <si>
    <t>•  Save at least 20% of income
•  Build a 6-month emergency fund
•  Eliminate high-interest debt
•  Invest automatically every month
•  Increase investing when income rises
•  Avoid lifestyle inflation
•  Think in decades, not months</t>
  </si>
  <si>
    <t>Category</t>
  </si>
  <si>
    <t>Tracked</t>
  </si>
  <si>
    <t>Budget</t>
  </si>
  <si>
    <t>Remaining</t>
  </si>
  <si>
    <t>Status</t>
  </si>
  <si>
    <t>Total</t>
  </si>
  <si>
    <t>EXPENSES</t>
  </si>
  <si>
    <t>SAVINGS</t>
  </si>
  <si>
    <t>Budget Dashboard</t>
  </si>
  <si>
    <t>Month</t>
  </si>
  <si>
    <t>Income</t>
  </si>
  <si>
    <t>Period Compl.</t>
  </si>
  <si>
    <t>Period Tracking Balance</t>
  </si>
  <si>
    <t>tracked income left to be allocated</t>
  </si>
  <si>
    <t>Period Savings Rate</t>
  </si>
  <si>
    <t>Year</t>
  </si>
  <si>
    <t>Period</t>
  </si>
  <si>
    <t>% Compl.</t>
  </si>
  <si>
    <t>Excess</t>
  </si>
  <si>
    <t>Expenses</t>
  </si>
  <si>
    <t>Income (chart)</t>
  </si>
  <si>
    <t>Expenses (chart)</t>
  </si>
  <si>
    <t>Other</t>
  </si>
  <si>
    <t>Savings (chart)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</si>
  <si>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</si>
  <si>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</si>
  <si>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</si>
  <si>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</si>
  <si>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</si>
  <si>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</si>
  <si>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</si>
  <si>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</si>
  <si>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</si>
  <si>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</si>
  <si>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</si>
  <si>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</si>
  <si>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Transactions</t>
  </si>
  <si>
    <t>Log every money movement here — the whole workbook reads from this sheet.</t>
  </si>
  <si>
    <t>Date</t>
  </si>
  <si>
    <t>Description</t>
  </si>
  <si>
    <t>Type</t>
  </si>
  <si>
    <t>Amount</t>
  </si>
  <si>
    <t>Monthly Salary</t>
  </si>
  <si>
    <t>Family Support</t>
  </si>
  <si>
    <t>Expense</t>
  </si>
  <si>
    <t>Church Tithe</t>
  </si>
  <si>
    <t>Tithe</t>
  </si>
  <si>
    <t>Personal Spending</t>
  </si>
  <si>
    <t>Transfer to Savings</t>
  </si>
  <si>
    <t>Savings Transfer</t>
  </si>
  <si>
    <t>Categories (ref)</t>
  </si>
  <si>
    <t>Types (ref)</t>
  </si>
  <si>
    <t>Transport</t>
  </si>
  <si>
    <t>Health</t>
  </si>
  <si>
    <t>Gifts</t>
  </si>
  <si>
    <t>Loan Payment</t>
  </si>
  <si>
    <t>Transfer</t>
  </si>
  <si>
    <t>Investment</t>
  </si>
  <si>
    <t>Budget vs actual — actuals pull automatically from the Transactions sheet.</t>
  </si>
  <si>
    <t>Actual</t>
  </si>
  <si>
    <t>Variance</t>
  </si>
  <si>
    <t>Other Income</t>
  </si>
  <si>
    <t>Total Savings</t>
  </si>
  <si>
    <t>SUMMARY</t>
  </si>
  <si>
    <t>Net Cash Flow (unallocated)</t>
  </si>
  <si>
    <t>Savings Goal</t>
  </si>
  <si>
    <t>Goal Status</t>
  </si>
  <si>
    <t>Monthly snapshots. Blue cells are assumptions; overwrite projected months with actual balances as they come.</t>
  </si>
  <si>
    <t>Starting bank balance</t>
  </si>
  <si>
    <t>Current loan balance</t>
  </si>
  <si>
    <t>Bank</t>
  </si>
  <si>
    <t>Other Assets</t>
  </si>
  <si>
    <t>Loan</t>
  </si>
  <si>
    <t>Other Debts</t>
  </si>
  <si>
    <t>Total Liab.</t>
  </si>
  <si>
    <t>Contract Runway &amp; Emergency Fund</t>
  </si>
  <si>
    <t>Your contract ends soon — this is your most important sheet. Blue cells are inputs.</t>
  </si>
  <si>
    <t>CONTRACT</t>
  </si>
  <si>
    <t>Contract Start</t>
  </si>
  <si>
    <t>Contract End</t>
  </si>
  <si>
    <t>Today</t>
  </si>
  <si>
    <t>Months Remaining</t>
  </si>
  <si>
    <t>Current Savings</t>
  </si>
  <si>
    <t>Monthly Net Savings</t>
  </si>
  <si>
    <t>Projected Savings at Contract End</t>
  </si>
  <si>
    <t>Monthly Essential Spending</t>
  </si>
  <si>
    <t>Current Emergency Fund (savings)</t>
  </si>
  <si>
    <t>Months Survivable Without Income</t>
  </si>
  <si>
    <t>Target</t>
  </si>
  <si>
    <t>Amount Needed</t>
  </si>
  <si>
    <t>Funded</t>
  </si>
  <si>
    <t>3 months</t>
  </si>
  <si>
    <t>6 months</t>
  </si>
  <si>
    <t>12 months</t>
  </si>
  <si>
    <t>Goals &amp; FIRE</t>
  </si>
  <si>
    <t>Progress updates automatically from your savings and net worth. Blue cells are yours to update.</t>
  </si>
  <si>
    <t>GOAL</t>
  </si>
  <si>
    <t>Current</t>
  </si>
  <si>
    <t>Progress</t>
  </si>
  <si>
    <t>Target Date</t>
  </si>
  <si>
    <t>Clear GH₵240 loan</t>
  </si>
  <si>
    <t>Reach GH₵10,000 savings</t>
  </si>
  <si>
    <t>Reach GH₵20,000 savings</t>
  </si>
  <si>
    <t>FINANCIAL INDEPENDENCE (FIRE)</t>
  </si>
  <si>
    <t>Annual Expenses</t>
  </si>
  <si>
    <t>FI Multiple (25× = 4% rule)</t>
  </si>
  <si>
    <t>FI Number (target net worth)</t>
  </si>
  <si>
    <t>Current Net Worth</t>
  </si>
  <si>
    <t>FI Progress</t>
  </si>
  <si>
    <t>Personal finance — income, expenses &amp; savings (GH₵)</t>
  </si>
  <si>
    <t>Executive Dashboard</t>
  </si>
  <si>
    <t>CURRENT SAVINGS</t>
  </si>
  <si>
    <t>SAVED THIS MONTH</t>
  </si>
  <si>
    <t>DEBT REMAINING</t>
  </si>
  <si>
    <t>CONTRACT COUNTDOWN</t>
  </si>
  <si>
    <t>Personal</t>
  </si>
  <si>
    <t>Goal</t>
  </si>
  <si>
    <t>2026 Monthly Trend  —  auto-fills as you log transactions (nothing resets)</t>
  </si>
  <si>
    <t>Net</t>
  </si>
  <si>
    <t>Save %</t>
  </si>
  <si>
    <t>DEC 2026 NET WORTH</t>
  </si>
  <si>
    <t>Select Month  ▼</t>
  </si>
  <si>
    <t>Build 6-month emergency fund</t>
  </si>
  <si>
    <t>Net worth GH₵20,000 by Dec 2026</t>
  </si>
  <si>
    <t>Planned monthly net savings (Budget: Income − Expenses)</t>
  </si>
  <si>
    <t>Planned vs Actual Net Worth</t>
  </si>
  <si>
    <t>Actual auto-fills as you log transactions; future months show as gaps.</t>
  </si>
  <si>
    <t>Planned Net Worth</t>
  </si>
  <si>
    <t>Actual Net Worth</t>
  </si>
  <si>
    <t>Variance (Act −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</si>
</sst>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m\ yyyy"/>
    <numFmt numFmtId="165" formatCode="0.0%"/>
    <numFmt numFmtId="166" formatCode="yyyy\-mm\-dd"/>
    <numFmt numFmtId="167" formatCode="&quot;GH₵&quot;#,##0;\(&quot;GH₵&quot;#,##0\);&quot;-&quot;"/>
    <numFmt numFmtId="168" formatCode="&quot;GH₵&quot;#,##0"/>
    <numFmt numFmtId="169" formatCode="dd\ mmm\ yyyy"/>
    <numFmt numFmtId="170" formatCode="0.0&quot; mo&quot;"/>
    <numFmt numFmtId="171" formatCode="0&quot;×&quot;"/>
    <numFmt numFmtId="172" formatCode="0&quot; mo left&quot;"/>
    <numFmt numFmtId="173" formatCode="yyyy&quot;   •   &quot;mmmm"/>
  </numFmts>
  <fonts count="5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6B7C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F4C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2"/>
      <color rgb="FF0F4C42"/>
      <name val="Calibri"/>
      <family val="2"/>
      <scheme val="minor"/>
    </font>
    <font>
      <b/>
      <sz val="11"/>
      <color rgb="FFD7ECE8"/>
      <name val="Calibri"/>
      <family val="2"/>
      <scheme val="minor"/>
    </font>
    <font>
      <b/>
      <sz val="13"/>
      <color rgb="FF1E7D5A"/>
      <name val="Calibri"/>
      <family val="2"/>
      <scheme val="minor"/>
    </font>
    <font>
      <i/>
      <sz val="12"/>
      <color rgb="FF0F4C42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3"/>
      <color rgb="FF1F6FEB"/>
      <name val="Calibri"/>
      <family val="2"/>
      <scheme val="minor"/>
    </font>
    <font>
      <b/>
      <sz val="18"/>
      <color rgb="FF1F3864"/>
      <name val="Calibri"/>
      <family val="2"/>
      <scheme val="minor"/>
    </font>
    <font>
      <sz val="10"/>
      <color rgb="FF6B7280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1F6FEB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4"/>
      <color rgb="FFD6336C"/>
      <name val="Calibri"/>
      <family val="2"/>
      <scheme val="minor"/>
    </font>
    <font>
      <b/>
      <sz val="14"/>
      <color rgb="FF1A7F37"/>
      <name val="Calibri"/>
      <family val="2"/>
      <scheme val="minor"/>
    </font>
    <font>
      <b/>
      <sz val="14"/>
      <color rgb="FF1F6FEB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1A7F37"/>
      <name val="Calibri"/>
      <family val="2"/>
      <scheme val="minor"/>
    </font>
    <font>
      <b/>
      <sz val="18"/>
      <color rgb="FF1F6FEB"/>
      <name val="Calibri"/>
      <family val="2"/>
      <scheme val="minor"/>
    </font>
    <font>
      <b/>
      <sz val="18"/>
      <color rgb="FFD6336C"/>
      <name val="Calibri"/>
      <family val="2"/>
      <scheme val="minor"/>
    </font>
    <font>
      <b/>
      <sz val="18"/>
      <color rgb="FFE8590C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1"/>
      <color rgb="FF6B7280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6B7280"/>
      <name val="Calibri"/>
      <family val="2"/>
    </font>
    <font>
      <sz val="12"/>
      <color rgb="FF6B7280"/>
      <name val="Calibri"/>
      <family val="2"/>
    </font>
    <font>
      <b/>
      <sz val="12"/>
      <color rgb="FF1A7F37"/>
      <name val="Calibri"/>
      <family val="2"/>
    </font>
    <font>
      <b/>
      <sz val="12"/>
      <color rgb="FF1F3864"/>
      <name val="Calibri"/>
      <family val="2"/>
    </font>
    <font>
      <b/>
      <sz val="12"/>
      <color rgb="FF1F6FEB"/>
      <name val="Calibri"/>
      <family val="2"/>
    </font>
    <font>
      <sz val="12"/>
      <color rgb="FF9CA3AF"/>
      <name val="Calibri"/>
      <family val="2"/>
    </font>
    <font>
      <sz val="12"/>
      <color rgb="FF008000"/>
      <name val="Calibri"/>
      <family val="2"/>
    </font>
    <font>
      <sz val="12"/>
      <color rgb="FF1A7F37"/>
      <name val="Calibri"/>
      <family val="2"/>
    </font>
    <font>
      <b/>
      <sz val="12"/>
      <color theme="1"/>
      <name val="Calibri"/>
      <family val="2"/>
    </font>
    <font>
      <sz val="12"/>
      <color rgb="FFC0223B"/>
      <name val="Calibri"/>
      <family val="2"/>
    </font>
    <font>
      <b/>
      <sz val="12"/>
      <color rgb="FFC0223B"/>
      <name val="Calibri"/>
      <family val="2"/>
    </font>
    <font>
      <b/>
      <sz val="18"/>
      <color rgb="FFFFFFFF"/>
      <name val="Calibri"/>
      <family val="2"/>
    </font>
    <font>
      <sz val="11"/>
      <color rgb="FFAEB9D4"/>
      <name val="Calibri"/>
      <family val="2"/>
    </font>
    <font>
      <b/>
      <sz val="12"/>
      <color rgb="FF0000FF"/>
      <name val="Calibri"/>
      <family val="2"/>
    </font>
    <font>
      <sz val="12"/>
      <color rgb="FF1A7F37"/>
      <name val="Calibri"/>
      <family val="2"/>
      <scheme val="minor"/>
    </font>
    <font>
      <b/>
      <sz val="13"/>
      <color rgb="FF1F3864"/>
      <name val="Calibri"/>
      <family val="2"/>
      <scheme val="minor"/>
    </font>
    <font>
      <sz val="12"/>
      <color rgb="FF1F6FEB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F4C42"/>
        <bgColor indexed="64"/>
      </patternFill>
    </fill>
    <fill>
      <patternFill patternType="solid">
        <fgColor rgb="FFD7ECE8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1F3A3D"/>
        <bgColor indexed="64"/>
      </patternFill>
    </fill>
    <fill>
      <patternFill patternType="solid">
        <fgColor rgb="FFF1F7F5"/>
        <bgColor indexed="64"/>
      </patternFill>
    </fill>
    <fill>
      <patternFill patternType="solid">
        <fgColor rgb="FF1A7F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7F5DD"/>
        <bgColor indexed="64"/>
      </patternFill>
    </fill>
    <fill>
      <patternFill patternType="solid">
        <fgColor rgb="FFD6336C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8C5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6B7280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D2E4E0"/>
      </right>
      <top/>
      <bottom style="thin">
        <color rgb="FFD2E4E0"/>
      </bottom>
      <diagonal/>
    </border>
    <border>
      <left style="thin">
        <color rgb="FFD2E4E0"/>
      </left>
      <right style="thin">
        <color rgb="FFD2E4E0"/>
      </right>
      <top/>
      <bottom style="thin">
        <color rgb="FFD2E4E0"/>
      </bottom>
      <diagonal/>
    </border>
    <border>
      <left style="thin">
        <color rgb="FFD2E4E0"/>
      </left>
      <right/>
      <top/>
      <bottom style="thin">
        <color rgb="FFD2E4E0"/>
      </bottom>
      <diagonal/>
    </border>
    <border>
      <left/>
      <right style="thin">
        <color rgb="FFD2E4E0"/>
      </right>
      <top style="thin">
        <color rgb="FFD2E4E0"/>
      </top>
      <bottom style="thin">
        <color rgb="FFD2E4E0"/>
      </bottom>
      <diagonal/>
    </border>
    <border>
      <left style="thin">
        <color rgb="FFD2E4E0"/>
      </left>
      <right style="thin">
        <color rgb="FFD2E4E0"/>
      </right>
      <top style="thin">
        <color rgb="FFD2E4E0"/>
      </top>
      <bottom style="thin">
        <color rgb="FFD2E4E0"/>
      </bottom>
      <diagonal/>
    </border>
    <border>
      <left style="thin">
        <color rgb="FFD2E4E0"/>
      </left>
      <right/>
      <top style="thin">
        <color rgb="FFD2E4E0"/>
      </top>
      <bottom style="thin">
        <color rgb="FFD2E4E0"/>
      </bottom>
      <diagonal/>
    </border>
    <border>
      <left/>
      <right style="thin">
        <color rgb="FFD2E4E0"/>
      </right>
      <top style="thin">
        <color rgb="FFD2E4E0"/>
      </top>
      <bottom style="thin">
        <color rgb="FF0F4C42"/>
      </bottom>
      <diagonal/>
    </border>
    <border>
      <left style="thin">
        <color rgb="FFD2E4E0"/>
      </left>
      <right style="thin">
        <color rgb="FFD2E4E0"/>
      </right>
      <top style="thin">
        <color rgb="FFD2E4E0"/>
      </top>
      <bottom style="thin">
        <color rgb="FF0F4C42"/>
      </bottom>
      <diagonal/>
    </border>
    <border>
      <left style="thin">
        <color rgb="FFD2E4E0"/>
      </left>
      <right/>
      <top style="thin">
        <color rgb="FFD2E4E0"/>
      </top>
      <bottom style="thin">
        <color rgb="FF0F4C42"/>
      </bottom>
      <diagonal/>
    </border>
    <border>
      <left/>
      <right/>
      <top style="thin">
        <color rgb="FFC9DAD6"/>
      </top>
      <bottom/>
      <diagonal/>
    </border>
    <border>
      <left/>
      <right/>
      <top/>
      <bottom style="thin">
        <color rgb="FFC9DAD6"/>
      </bottom>
      <diagonal/>
    </border>
    <border>
      <left style="thin">
        <color rgb="FFC9DAD6"/>
      </left>
      <right/>
      <top style="thin">
        <color rgb="FFC9DAD6"/>
      </top>
      <bottom/>
      <diagonal/>
    </border>
    <border>
      <left style="thin">
        <color rgb="FFC9DAD6"/>
      </left>
      <right/>
      <top/>
      <bottom/>
      <diagonal/>
    </border>
    <border>
      <left style="thin">
        <color rgb="FFC9DAD6"/>
      </left>
      <right/>
      <top/>
      <bottom style="thin">
        <color rgb="FFC9DAD6"/>
      </bottom>
      <diagonal/>
    </border>
    <border>
      <left/>
      <right style="thin">
        <color rgb="FFC9DAD6"/>
      </right>
      <top style="thin">
        <color rgb="FFC9DAD6"/>
      </top>
      <bottom/>
      <diagonal/>
    </border>
    <border>
      <left/>
      <right style="thin">
        <color rgb="FFC9DAD6"/>
      </right>
      <top/>
      <bottom/>
      <diagonal/>
    </border>
    <border>
      <left/>
      <right style="thin">
        <color rgb="FFC9DAD6"/>
      </right>
      <top/>
      <bottom style="thin">
        <color rgb="FFC9DAD6"/>
      </bottom>
      <diagonal/>
    </border>
    <border>
      <left/>
      <right style="thick">
        <color rgb="FFFFFFFF"/>
      </right>
      <top/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n">
        <color rgb="FFFFFFFF"/>
      </bottom>
      <diagonal/>
    </border>
    <border>
      <left style="thick">
        <color rgb="FFFFFFFF"/>
      </left>
      <right/>
      <top/>
      <bottom style="thin">
        <color rgb="FFFFFFFF"/>
      </bottom>
      <diagonal/>
    </border>
    <border>
      <left/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FFFFFF"/>
      </right>
      <top style="thin">
        <color rgb="FFFFFFFF"/>
      </top>
      <bottom/>
      <diagonal/>
    </border>
    <border>
      <left style="thick">
        <color rgb="FFFFFFFF"/>
      </left>
      <right style="thick">
        <color rgb="FFFFFFFF"/>
      </right>
      <top style="thin">
        <color rgb="FFFFFFFF"/>
      </top>
      <bottom/>
      <diagonal/>
    </border>
    <border>
      <left style="thick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4" fillId="0" borderId="0" xfId="0" applyFont="1"/>
    <xf numFmtId="0" fontId="6" fillId="4" borderId="0" xfId="0" applyFont="1" applyFill="1"/>
    <xf numFmtId="0" fontId="7" fillId="0" borderId="0" xfId="0" applyFont="1"/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4" xfId="0" applyBorder="1"/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7" xfId="0" applyBorder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4" borderId="0" xfId="0" applyFill="1"/>
    <xf numFmtId="0" fontId="3" fillId="5" borderId="0" xfId="0" applyFont="1" applyFill="1"/>
    <xf numFmtId="0" fontId="1" fillId="0" borderId="0" xfId="0" applyFont="1"/>
    <xf numFmtId="0" fontId="3" fillId="4" borderId="0" xfId="0" applyFont="1" applyFill="1"/>
    <xf numFmtId="0" fontId="1" fillId="6" borderId="0" xfId="0" applyFont="1" applyFill="1" applyAlignment="1">
      <alignment vertical="top" wrapText="1"/>
    </xf>
    <xf numFmtId="0" fontId="0" fillId="8" borderId="0" xfId="0" applyFill="1"/>
    <xf numFmtId="0" fontId="0" fillId="9" borderId="0" xfId="0" applyFill="1"/>
    <xf numFmtId="0" fontId="6" fillId="9" borderId="0" xfId="0" applyFont="1" applyFill="1"/>
    <xf numFmtId="0" fontId="5" fillId="8" borderId="0" xfId="0" applyFont="1" applyFill="1"/>
    <xf numFmtId="0" fontId="13" fillId="0" borderId="0" xfId="0" applyFont="1"/>
    <xf numFmtId="0" fontId="14" fillId="0" borderId="0" xfId="0" applyFont="1"/>
    <xf numFmtId="0" fontId="6" fillId="9" borderId="0" xfId="0" applyFont="1" applyFill="1" applyAlignment="1">
      <alignment horizontal="right"/>
    </xf>
    <xf numFmtId="166" fontId="0" fillId="0" borderId="0" xfId="0" applyNumberFormat="1"/>
    <xf numFmtId="167" fontId="0" fillId="0" borderId="0" xfId="0" applyNumberFormat="1"/>
    <xf numFmtId="0" fontId="13" fillId="8" borderId="0" xfId="0" applyFont="1" applyFill="1"/>
    <xf numFmtId="0" fontId="14" fillId="8" borderId="0" xfId="0" applyFont="1" applyFill="1"/>
    <xf numFmtId="0" fontId="6" fillId="7" borderId="0" xfId="0" applyFont="1" applyFill="1"/>
    <xf numFmtId="0" fontId="6" fillId="7" borderId="0" xfId="0" applyFont="1" applyFill="1" applyAlignment="1">
      <alignment horizontal="right"/>
    </xf>
    <xf numFmtId="167" fontId="15" fillId="8" borderId="0" xfId="0" applyNumberFormat="1" applyFont="1" applyFill="1"/>
    <xf numFmtId="167" fontId="0" fillId="8" borderId="0" xfId="0" applyNumberFormat="1" applyFill="1"/>
    <xf numFmtId="167" fontId="5" fillId="8" borderId="0" xfId="0" applyNumberFormat="1" applyFont="1" applyFill="1"/>
    <xf numFmtId="0" fontId="6" fillId="11" borderId="0" xfId="0" applyFont="1" applyFill="1"/>
    <xf numFmtId="0" fontId="6" fillId="11" borderId="0" xfId="0" applyFont="1" applyFill="1" applyAlignment="1">
      <alignment horizontal="right"/>
    </xf>
    <xf numFmtId="0" fontId="6" fillId="12" borderId="0" xfId="0" applyFont="1" applyFill="1"/>
    <xf numFmtId="0" fontId="6" fillId="12" borderId="0" xfId="0" applyFont="1" applyFill="1" applyAlignment="1">
      <alignment horizontal="right"/>
    </xf>
    <xf numFmtId="165" fontId="17" fillId="8" borderId="0" xfId="0" applyNumberFormat="1" applyFont="1" applyFill="1"/>
    <xf numFmtId="168" fontId="19" fillId="8" borderId="0" xfId="0" applyNumberFormat="1" applyFont="1" applyFill="1"/>
    <xf numFmtId="168" fontId="16" fillId="8" borderId="0" xfId="0" applyNumberFormat="1" applyFont="1" applyFill="1"/>
    <xf numFmtId="164" fontId="0" fillId="8" borderId="0" xfId="0" applyNumberFormat="1" applyFill="1"/>
    <xf numFmtId="167" fontId="17" fillId="8" borderId="0" xfId="0" applyNumberFormat="1" applyFont="1" applyFill="1"/>
    <xf numFmtId="169" fontId="15" fillId="13" borderId="0" xfId="0" applyNumberFormat="1" applyFont="1" applyFill="1"/>
    <xf numFmtId="169" fontId="0" fillId="8" borderId="0" xfId="0" applyNumberFormat="1" applyFill="1"/>
    <xf numFmtId="1" fontId="20" fillId="8" borderId="0" xfId="0" applyNumberFormat="1" applyFont="1" applyFill="1"/>
    <xf numFmtId="168" fontId="18" fillId="8" borderId="0" xfId="0" applyNumberFormat="1" applyFont="1" applyFill="1"/>
    <xf numFmtId="168" fontId="12" fillId="8" borderId="0" xfId="0" applyNumberFormat="1" applyFont="1" applyFill="1"/>
    <xf numFmtId="0" fontId="0" fillId="7" borderId="0" xfId="0" applyFill="1"/>
    <xf numFmtId="170" fontId="21" fillId="8" borderId="0" xfId="0" applyNumberFormat="1" applyFont="1" applyFill="1"/>
    <xf numFmtId="0" fontId="6" fillId="9" borderId="0" xfId="0" applyFont="1" applyFill="1" applyAlignment="1">
      <alignment horizontal="center"/>
    </xf>
    <xf numFmtId="168" fontId="0" fillId="8" borderId="0" xfId="0" applyNumberFormat="1" applyFill="1"/>
    <xf numFmtId="9" fontId="0" fillId="8" borderId="0" xfId="0" applyNumberFormat="1" applyFill="1"/>
    <xf numFmtId="168" fontId="15" fillId="8" borderId="0" xfId="0" applyNumberFormat="1" applyFont="1" applyFill="1"/>
    <xf numFmtId="169" fontId="0" fillId="8" borderId="0" xfId="0" applyNumberFormat="1" applyFill="1" applyAlignment="1">
      <alignment horizontal="center"/>
    </xf>
    <xf numFmtId="0" fontId="0" fillId="12" borderId="0" xfId="0" applyFill="1"/>
    <xf numFmtId="171" fontId="15" fillId="8" borderId="0" xfId="0" applyNumberFormat="1" applyFont="1" applyFill="1"/>
    <xf numFmtId="168" fontId="5" fillId="8" borderId="0" xfId="0" applyNumberFormat="1" applyFont="1" applyFill="1"/>
    <xf numFmtId="165" fontId="22" fillId="8" borderId="0" xfId="0" applyNumberFormat="1" applyFont="1" applyFill="1"/>
    <xf numFmtId="0" fontId="29" fillId="8" borderId="0" xfId="0" applyFont="1" applyFill="1"/>
    <xf numFmtId="164" fontId="30" fillId="0" borderId="0" xfId="0" applyNumberFormat="1" applyFont="1"/>
    <xf numFmtId="167" fontId="30" fillId="0" borderId="0" xfId="0" applyNumberFormat="1" applyFont="1"/>
    <xf numFmtId="165" fontId="30" fillId="0" borderId="0" xfId="0" applyNumberFormat="1" applyFont="1"/>
    <xf numFmtId="164" fontId="31" fillId="0" borderId="0" xfId="0" applyNumberFormat="1" applyFont="1"/>
    <xf numFmtId="0" fontId="33" fillId="8" borderId="0" xfId="0" applyFont="1" applyFill="1"/>
    <xf numFmtId="0" fontId="33" fillId="0" borderId="0" xfId="0" applyFont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32" fillId="8" borderId="0" xfId="0" applyFont="1" applyFill="1"/>
    <xf numFmtId="0" fontId="35" fillId="9" borderId="0" xfId="0" applyFont="1" applyFill="1"/>
    <xf numFmtId="0" fontId="32" fillId="9" borderId="0" xfId="0" applyFont="1" applyFill="1"/>
    <xf numFmtId="0" fontId="37" fillId="8" borderId="0" xfId="0" applyFont="1" applyFill="1" applyAlignment="1">
      <alignment vertical="center"/>
    </xf>
    <xf numFmtId="0" fontId="38" fillId="10" borderId="0" xfId="0" applyFont="1" applyFill="1" applyAlignment="1">
      <alignment horizontal="center" vertical="center"/>
    </xf>
    <xf numFmtId="0" fontId="35" fillId="7" borderId="0" xfId="0" applyFont="1" applyFill="1"/>
    <xf numFmtId="0" fontId="35" fillId="7" borderId="0" xfId="0" applyFont="1" applyFill="1" applyAlignment="1">
      <alignment horizontal="right"/>
    </xf>
    <xf numFmtId="0" fontId="35" fillId="7" borderId="0" xfId="0" applyFont="1" applyFill="1" applyAlignment="1">
      <alignment horizontal="center"/>
    </xf>
    <xf numFmtId="167" fontId="42" fillId="8" borderId="0" xfId="0" applyNumberFormat="1" applyFont="1" applyFill="1"/>
    <xf numFmtId="9" fontId="38" fillId="10" borderId="0" xfId="0" applyNumberFormat="1" applyFont="1" applyFill="1" applyAlignment="1">
      <alignment horizontal="center"/>
    </xf>
    <xf numFmtId="167" fontId="32" fillId="8" borderId="0" xfId="0" applyNumberFormat="1" applyFont="1" applyFill="1"/>
    <xf numFmtId="167" fontId="43" fillId="8" borderId="0" xfId="0" applyNumberFormat="1" applyFont="1" applyFill="1"/>
    <xf numFmtId="0" fontId="44" fillId="8" borderId="0" xfId="0" applyFont="1" applyFill="1"/>
    <xf numFmtId="167" fontId="44" fillId="8" borderId="0" xfId="0" applyNumberFormat="1" applyFont="1" applyFill="1"/>
    <xf numFmtId="167" fontId="38" fillId="8" borderId="0" xfId="0" applyNumberFormat="1" applyFont="1" applyFill="1"/>
    <xf numFmtId="9" fontId="32" fillId="8" borderId="0" xfId="0" applyNumberFormat="1" applyFont="1" applyFill="1"/>
    <xf numFmtId="0" fontId="35" fillId="11" borderId="0" xfId="0" applyFont="1" applyFill="1"/>
    <xf numFmtId="0" fontId="35" fillId="11" borderId="0" xfId="0" applyFont="1" applyFill="1" applyAlignment="1">
      <alignment horizontal="right"/>
    </xf>
    <xf numFmtId="9" fontId="35" fillId="11" borderId="0" xfId="0" applyNumberFormat="1" applyFont="1" applyFill="1" applyAlignment="1">
      <alignment horizontal="center"/>
    </xf>
    <xf numFmtId="9" fontId="38" fillId="0" borderId="0" xfId="0" applyNumberFormat="1" applyFont="1" applyAlignment="1">
      <alignment horizontal="center"/>
    </xf>
    <xf numFmtId="167" fontId="45" fillId="8" borderId="0" xfId="0" applyNumberFormat="1" applyFont="1" applyFill="1"/>
    <xf numFmtId="168" fontId="32" fillId="8" borderId="0" xfId="0" applyNumberFormat="1" applyFont="1" applyFill="1"/>
    <xf numFmtId="167" fontId="46" fillId="8" borderId="0" xfId="0" applyNumberFormat="1" applyFont="1" applyFill="1"/>
    <xf numFmtId="0" fontId="35" fillId="12" borderId="0" xfId="0" applyFont="1" applyFill="1"/>
    <xf numFmtId="0" fontId="35" fillId="12" borderId="0" xfId="0" applyFont="1" applyFill="1" applyAlignment="1">
      <alignment horizontal="right"/>
    </xf>
    <xf numFmtId="9" fontId="35" fillId="12" borderId="0" xfId="0" applyNumberFormat="1" applyFont="1" applyFill="1" applyAlignment="1">
      <alignment horizontal="center"/>
    </xf>
    <xf numFmtId="0" fontId="47" fillId="9" borderId="0" xfId="0" applyFont="1" applyFill="1"/>
    <xf numFmtId="0" fontId="48" fillId="9" borderId="0" xfId="0" applyFont="1" applyFill="1"/>
    <xf numFmtId="164" fontId="19" fillId="13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/>
    <xf numFmtId="0" fontId="11" fillId="4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68" fontId="25" fillId="14" borderId="21" xfId="0" applyNumberFormat="1" applyFont="1" applyFill="1" applyBorder="1" applyAlignment="1">
      <alignment horizontal="left" vertical="center"/>
    </xf>
    <xf numFmtId="168" fontId="24" fillId="14" borderId="22" xfId="0" applyNumberFormat="1" applyFont="1" applyFill="1" applyBorder="1" applyAlignment="1">
      <alignment horizontal="left" vertical="center"/>
    </xf>
    <xf numFmtId="168" fontId="13" fillId="14" borderId="22" xfId="0" applyNumberFormat="1" applyFont="1" applyFill="1" applyBorder="1" applyAlignment="1">
      <alignment horizontal="left" vertical="center"/>
    </xf>
    <xf numFmtId="165" fontId="26" fillId="14" borderId="22" xfId="0" applyNumberFormat="1" applyFont="1" applyFill="1" applyBorder="1" applyAlignment="1">
      <alignment horizontal="left" vertical="center"/>
    </xf>
    <xf numFmtId="165" fontId="24" fillId="14" borderId="22" xfId="0" applyNumberFormat="1" applyFont="1" applyFill="1" applyBorder="1" applyAlignment="1">
      <alignment horizontal="left" vertical="center"/>
    </xf>
    <xf numFmtId="168" fontId="25" fillId="14" borderId="22" xfId="0" applyNumberFormat="1" applyFont="1" applyFill="1" applyBorder="1" applyAlignment="1">
      <alignment horizontal="left" vertical="center"/>
    </xf>
    <xf numFmtId="168" fontId="24" fillId="14" borderId="23" xfId="0" applyNumberFormat="1" applyFont="1" applyFill="1" applyBorder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34" fillId="14" borderId="18" xfId="0" applyFont="1" applyFill="1" applyBorder="1" applyAlignment="1">
      <alignment horizontal="left" vertical="center"/>
    </xf>
    <xf numFmtId="0" fontId="34" fillId="14" borderId="19" xfId="0" applyFont="1" applyFill="1" applyBorder="1" applyAlignment="1">
      <alignment horizontal="left" vertical="center"/>
    </xf>
    <xf numFmtId="0" fontId="34" fillId="14" borderId="20" xfId="0" applyFont="1" applyFill="1" applyBorder="1" applyAlignment="1">
      <alignment horizontal="left" vertical="center"/>
    </xf>
    <xf numFmtId="0" fontId="34" fillId="14" borderId="21" xfId="0" applyFont="1" applyFill="1" applyBorder="1" applyAlignment="1">
      <alignment horizontal="left" vertical="center"/>
    </xf>
    <xf numFmtId="0" fontId="34" fillId="14" borderId="22" xfId="0" applyFont="1" applyFill="1" applyBorder="1" applyAlignment="1">
      <alignment horizontal="left" vertical="center"/>
    </xf>
    <xf numFmtId="0" fontId="34" fillId="14" borderId="23" xfId="0" applyFont="1" applyFill="1" applyBorder="1" applyAlignment="1">
      <alignment horizontal="left" vertical="center"/>
    </xf>
    <xf numFmtId="168" fontId="27" fillId="14" borderId="24" xfId="0" applyNumberFormat="1" applyFont="1" applyFill="1" applyBorder="1" applyAlignment="1">
      <alignment horizontal="left" vertical="center"/>
    </xf>
    <xf numFmtId="168" fontId="24" fillId="14" borderId="25" xfId="0" applyNumberFormat="1" applyFont="1" applyFill="1" applyBorder="1" applyAlignment="1">
      <alignment horizontal="left" vertical="center"/>
    </xf>
    <xf numFmtId="170" fontId="26" fillId="14" borderId="25" xfId="0" applyNumberFormat="1" applyFont="1" applyFill="1" applyBorder="1" applyAlignment="1">
      <alignment horizontal="left" vertical="center"/>
    </xf>
    <xf numFmtId="170" fontId="24" fillId="14" borderId="25" xfId="0" applyNumberFormat="1" applyFont="1" applyFill="1" applyBorder="1" applyAlignment="1">
      <alignment horizontal="left" vertical="center"/>
    </xf>
    <xf numFmtId="172" fontId="28" fillId="14" borderId="25" xfId="0" applyNumberFormat="1" applyFont="1" applyFill="1" applyBorder="1" applyAlignment="1">
      <alignment horizontal="left" vertical="center"/>
    </xf>
    <xf numFmtId="172" fontId="24" fillId="14" borderId="25" xfId="0" applyNumberFormat="1" applyFont="1" applyFill="1" applyBorder="1" applyAlignment="1">
      <alignment horizontal="left" vertical="center"/>
    </xf>
    <xf numFmtId="168" fontId="25" fillId="14" borderId="25" xfId="0" applyNumberFormat="1" applyFont="1" applyFill="1" applyBorder="1" applyAlignment="1">
      <alignment horizontal="left" vertical="center"/>
    </xf>
    <xf numFmtId="168" fontId="24" fillId="14" borderId="26" xfId="0" applyNumberFormat="1" applyFont="1" applyFill="1" applyBorder="1" applyAlignment="1">
      <alignment horizontal="left" vertical="center"/>
    </xf>
    <xf numFmtId="0" fontId="36" fillId="8" borderId="0" xfId="0" applyFont="1" applyFill="1" applyAlignment="1">
      <alignment horizontal="left" vertical="center"/>
    </xf>
    <xf numFmtId="0" fontId="40" fillId="8" borderId="0" xfId="0" applyFont="1" applyFill="1" applyAlignment="1">
      <alignment horizontal="left" vertical="center"/>
    </xf>
    <xf numFmtId="173" fontId="49" fillId="13" borderId="0" xfId="0" applyNumberFormat="1" applyFont="1" applyFill="1" applyAlignment="1">
      <alignment horizontal="left" vertical="center"/>
    </xf>
    <xf numFmtId="0" fontId="39" fillId="8" borderId="0" xfId="0" applyFont="1" applyFill="1" applyAlignment="1">
      <alignment horizontal="left" vertical="center"/>
    </xf>
    <xf numFmtId="9" fontId="38" fillId="8" borderId="0" xfId="0" applyNumberFormat="1" applyFont="1" applyFill="1" applyAlignment="1">
      <alignment horizontal="left" vertical="center"/>
    </xf>
    <xf numFmtId="167" fontId="39" fillId="8" borderId="0" xfId="0" applyNumberFormat="1" applyFont="1" applyFill="1" applyAlignment="1">
      <alignment horizontal="left" vertical="center"/>
    </xf>
    <xf numFmtId="0" fontId="41" fillId="8" borderId="0" xfId="0" applyFont="1" applyFill="1" applyAlignment="1">
      <alignment horizontal="left" vertical="center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7" xfId="0" applyBorder="1" applyAlignment="1">
      <alignment vertical="top"/>
    </xf>
    <xf numFmtId="0" fontId="51" fillId="8" borderId="0" xfId="0" applyFont="1" applyFill="1"/>
    <xf numFmtId="0" fontId="6" fillId="15" borderId="0" xfId="0" applyFont="1" applyFill="1" applyAlignment="1">
      <alignment horizontal="right"/>
    </xf>
    <xf numFmtId="168" fontId="52" fillId="8" borderId="0" xfId="0" applyNumberFormat="1" applyFont="1" applyFill="1"/>
    <xf numFmtId="168" fontId="50" fillId="8" borderId="0" xfId="0" applyNumberFormat="1" applyFont="1" applyFill="1"/>
  </cellXfs>
  <cellStyles count="1">
    <cellStyle name="Normal" xfId="0" builtinId="0"/>
  </cellStyles>
  <dxfs count="7">
    <dxf>
      <font>
        <color rgb="FFFFFFFF"/>
      </font>
    </dxf>
    <dxf>
      <fill>
        <patternFill patternType="solid">
          <fgColor indexed="64"/>
          <bgColor rgb="FFFFF8C5"/>
        </patternFill>
      </fill>
    </dxf>
    <dxf>
      <font>
        <color rgb="FF1A7F37"/>
      </font>
      <fill>
        <patternFill patternType="solid">
          <fgColor indexed="64"/>
          <bgColor rgb="FFD7F5DD"/>
        </patternFill>
      </fill>
    </dxf>
    <dxf>
      <font>
        <color rgb="FFC0223B"/>
      </font>
      <fill>
        <patternFill patternType="solid">
          <fgColor indexed="64"/>
          <bgColor rgb="FFFAD4DD"/>
        </patternFill>
      </fill>
    </dxf>
    <dxf>
      <numFmt numFmtId="167" formatCode="&quot;GH₵&quot;#,##0;\(&quot;GH₵&quot;#,##0\);&quot;-&quot;"/>
    </dxf>
    <dxf>
      <numFmt numFmtId="166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1F3864"/>
        </patternFill>
      </fill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Worth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Worth</c:v>
          </c:tx>
          <c:spPr>
            <a:ln w="31750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'Executive Dashboard'!$L$3:$L$9</c:f>
              <c:numCache>
                <c:formatCode>mmm\ yyyy</c:formatCode>
                <c:ptCount val="7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</c:numCache>
            </c:numRef>
          </c:cat>
          <c:val>
            <c:numRef>
              <c:f>'Executive Dashboard'!$M$3:$M$9</c:f>
              <c:numCache>
                <c:formatCode>"GH₵"#,##0</c:formatCode>
                <c:ptCount val="7"/>
                <c:pt idx="0">
                  <c:v>7760</c:v>
                </c:pt>
                <c:pt idx="1">
                  <c:v>9760</c:v>
                </c:pt>
                <c:pt idx="2">
                  <c:v>11760</c:v>
                </c:pt>
                <c:pt idx="3">
                  <c:v>13760</c:v>
                </c:pt>
                <c:pt idx="4">
                  <c:v>15760</c:v>
                </c:pt>
                <c:pt idx="5">
                  <c:v>17760</c:v>
                </c:pt>
                <c:pt idx="6">
                  <c:v>19760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2-42FA-B981-3A4CAA04F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100272"/>
        <c:axId val="1018117072"/>
      </c:lineChart>
      <c:dateAx>
        <c:axId val="101810027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17072"/>
        <c:crosses val="autoZero"/>
        <c:auto val="1"/>
        <c:lblOffset val="100"/>
        <c:baseTimeUnit val="months"/>
      </c:dateAx>
      <c:valAx>
        <c:axId val="10181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GH₵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0027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Savings</c:v>
          </c:tx>
          <c:spPr>
            <a:ln w="31750" cap="rnd">
              <a:solidFill>
                <a:srgbClr val="1A7F3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'Executive Dashboard'!$N$3:$N$9</c:f>
              <c:numCache>
                <c:formatCode>mmm\ yyyy</c:formatCode>
                <c:ptCount val="7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</c:numCache>
            </c:numRef>
          </c:cat>
          <c:val>
            <c:numRef>
              <c:f>'Executive Dashboard'!$O$3:$O$9</c:f>
              <c:numCache>
                <c:formatCode>"GH₵"#,##0</c:formatCode>
                <c:ptCount val="7"/>
                <c:pt idx="0">
                  <c:v>8000</c:v>
                </c:pt>
                <c:pt idx="1">
                  <c:v>9760</c:v>
                </c:pt>
                <c:pt idx="2">
                  <c:v>11760</c:v>
                </c:pt>
                <c:pt idx="3">
                  <c:v>13760</c:v>
                </c:pt>
                <c:pt idx="4">
                  <c:v>15760</c:v>
                </c:pt>
                <c:pt idx="5">
                  <c:v>17760</c:v>
                </c:pt>
                <c:pt idx="6">
                  <c:v>19760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0-4491-8194-CBDF61504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098352"/>
        <c:axId val="1018096432"/>
      </c:lineChart>
      <c:dateAx>
        <c:axId val="101809835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96432"/>
        <c:crosses val="autoZero"/>
        <c:auto val="1"/>
        <c:lblOffset val="100"/>
        <c:baseTimeUnit val="months"/>
      </c:dateAx>
      <c:valAx>
        <c:axId val="10180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GH₵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983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Dashboard'!$Q$2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C218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D2-4967-B2E8-AFC588A3F6CD}"/>
              </c:ext>
            </c:extLst>
          </c:dPt>
          <c:dPt>
            <c:idx val="1"/>
            <c:bubble3D val="0"/>
            <c:spPr>
              <a:solidFill>
                <a:srgbClr val="D6336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CD2-4967-B2E8-AFC588A3F6CD}"/>
              </c:ext>
            </c:extLst>
          </c:dPt>
          <c:dPt>
            <c:idx val="2"/>
            <c:bubble3D val="0"/>
            <c:spPr>
              <a:solidFill>
                <a:srgbClr val="E649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2-4967-B2E8-AFC588A3F6CD}"/>
              </c:ext>
            </c:extLst>
          </c:dPt>
          <c:dPt>
            <c:idx val="3"/>
            <c:bubble3D val="0"/>
            <c:spPr>
              <a:solidFill>
                <a:srgbClr val="FCC2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CD2-4967-B2E8-AFC588A3F6CD}"/>
              </c:ext>
            </c:extLst>
          </c:dPt>
          <c:cat>
            <c:strRef>
              <c:f>'Executive Dashboard'!$P$3:$P$6</c:f>
              <c:strCache>
                <c:ptCount val="4"/>
                <c:pt idx="0">
                  <c:v>Family Support</c:v>
                </c:pt>
                <c:pt idx="1">
                  <c:v>Tithe</c:v>
                </c:pt>
                <c:pt idx="2">
                  <c:v>Personal</c:v>
                </c:pt>
                <c:pt idx="3">
                  <c:v>Other</c:v>
                </c:pt>
              </c:strCache>
            </c:strRef>
          </c:cat>
          <c:val>
            <c:numRef>
              <c:f>'Executive Dashboard'!$Q$3:$Q$6</c:f>
              <c:numCache>
                <c:formatCode>"GH₵"#,##0</c:formatCode>
                <c:ptCount val="4"/>
                <c:pt idx="0">
                  <c:v>400</c:v>
                </c:pt>
                <c:pt idx="1">
                  <c:v>300</c:v>
                </c:pt>
                <c:pt idx="2">
                  <c:v>100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2-4967-B2E8-AFC588A3F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Dashboard'!$T$2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rgbClr val="1F6FEB"/>
            </a:solidFill>
            <a:ln>
              <a:noFill/>
            </a:ln>
            <a:effectLst/>
          </c:spPr>
          <c:invertIfNegative val="0"/>
          <c:cat>
            <c:strRef>
              <c:f>'Executive Dashboard'!$S$3:$S$7</c:f>
              <c:strCache>
                <c:ptCount val="5"/>
                <c:pt idx="0">
                  <c:v>Clear GH₵240 loan</c:v>
                </c:pt>
                <c:pt idx="1">
                  <c:v>Reach GH₵10,000 savings</c:v>
                </c:pt>
                <c:pt idx="2">
                  <c:v>Reach GH₵20,000 savings</c:v>
                </c:pt>
                <c:pt idx="3">
                  <c:v>Build 6-month emergency fund</c:v>
                </c:pt>
                <c:pt idx="4">
                  <c:v>Net worth GH₵20,000 by Dec 2026</c:v>
                </c:pt>
              </c:strCache>
            </c:strRef>
          </c:cat>
          <c:val>
            <c:numRef>
              <c:f>'Executive Dashboard'!$T$3:$T$7</c:f>
              <c:numCache>
                <c:formatCode>0%</c:formatCode>
                <c:ptCount val="5"/>
                <c:pt idx="0">
                  <c:v>0</c:v>
                </c:pt>
                <c:pt idx="1">
                  <c:v>0.8</c:v>
                </c:pt>
                <c:pt idx="2">
                  <c:v>0.4</c:v>
                </c:pt>
                <c:pt idx="3">
                  <c:v>1</c:v>
                </c:pt>
                <c:pt idx="4">
                  <c:v>0.38800000000000001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7-4510-AB14-258E6180B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5084384"/>
        <c:axId val="865084864"/>
      </c:barChart>
      <c:catAx>
        <c:axId val="86508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84864"/>
        <c:crosses val="autoZero"/>
        <c:auto val="1"/>
        <c:lblAlgn val="ctr"/>
        <c:lblOffset val="100"/>
        <c:noMultiLvlLbl val="0"/>
      </c:catAx>
      <c:valAx>
        <c:axId val="86508486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843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Categories (Tracked)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A7F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46-44DA-BBCE-90FD4B475663}"/>
              </c:ext>
            </c:extLst>
          </c:dPt>
          <c:dPt>
            <c:idx val="1"/>
            <c:bubble3D val="0"/>
            <c:spPr>
              <a:solidFill>
                <a:srgbClr val="2EA0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346-44DA-BBCE-90FD4B475663}"/>
              </c:ext>
            </c:extLst>
          </c:dPt>
          <c:dPt>
            <c:idx val="2"/>
            <c:bubble3D val="0"/>
            <c:spPr>
              <a:solidFill>
                <a:srgbClr val="56D3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46-44DA-BBCE-90FD4B475663}"/>
              </c:ext>
            </c:extLst>
          </c:dPt>
          <c:cat>
            <c:strRef>
              <c:f>'Budget Dashboard'!$T$2:$T$4</c:f>
              <c:strCache>
                <c:ptCount val="3"/>
                <c:pt idx="0">
                  <c:v>Salary</c:v>
                </c:pt>
                <c:pt idx="1">
                  <c:v>Other Income</c:v>
                </c:pt>
                <c:pt idx="2">
                  <c:v>0</c:v>
                </c:pt>
              </c:strCache>
            </c:strRef>
          </c:cat>
          <c:val>
            <c:numRef>
              <c:f>'Budget Dashboard'!$U$2:$U$4</c:f>
              <c:numCache>
                <c:formatCode>General</c:formatCode>
                <c:ptCount val="3"/>
                <c:pt idx="0">
                  <c:v>2800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6-44DA-BBCE-90FD4B475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Categories (Tracked)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218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D1-4F01-9092-28DA483A1C00}"/>
              </c:ext>
            </c:extLst>
          </c:dPt>
          <c:dPt>
            <c:idx val="1"/>
            <c:bubble3D val="0"/>
            <c:spPr>
              <a:solidFill>
                <a:srgbClr val="D6336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D1-4F01-9092-28DA483A1C00}"/>
              </c:ext>
            </c:extLst>
          </c:dPt>
          <c:dPt>
            <c:idx val="2"/>
            <c:bubble3D val="0"/>
            <c:spPr>
              <a:solidFill>
                <a:srgbClr val="E649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D1-4F01-9092-28DA483A1C00}"/>
              </c:ext>
            </c:extLst>
          </c:dPt>
          <c:dPt>
            <c:idx val="3"/>
            <c:bubble3D val="0"/>
            <c:spPr>
              <a:solidFill>
                <a:srgbClr val="F0659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8D1-4F01-9092-28DA483A1C00}"/>
              </c:ext>
            </c:extLst>
          </c:dPt>
          <c:dPt>
            <c:idx val="4"/>
            <c:bubble3D val="0"/>
            <c:spPr>
              <a:solidFill>
                <a:srgbClr val="F783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D1-4F01-9092-28DA483A1C00}"/>
              </c:ext>
            </c:extLst>
          </c:dPt>
          <c:dPt>
            <c:idx val="5"/>
            <c:bubble3D val="0"/>
            <c:spPr>
              <a:solidFill>
                <a:srgbClr val="FCC2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8D1-4F01-9092-28DA483A1C00}"/>
              </c:ext>
            </c:extLst>
          </c:dPt>
          <c:cat>
            <c:strRef>
              <c:f>'Budget Dashboard'!$T$7:$T$12</c:f>
              <c:strCache>
                <c:ptCount val="6"/>
                <c:pt idx="0">
                  <c:v>Family Support</c:v>
                </c:pt>
                <c:pt idx="1">
                  <c:v>Tithe</c:v>
                </c:pt>
                <c:pt idx="2">
                  <c:v>Personal Spending</c:v>
                </c:pt>
                <c:pt idx="3">
                  <c:v>Transport</c:v>
                </c:pt>
                <c:pt idx="4">
                  <c:v>Food</c:v>
                </c:pt>
                <c:pt idx="5">
                  <c:v>Other</c:v>
                </c:pt>
              </c:strCache>
            </c:strRef>
          </c:cat>
          <c:val>
            <c:numRef>
              <c:f>'Budget Dashboard'!$U$7:$U$12</c:f>
              <c:numCache>
                <c:formatCode>General</c:formatCode>
                <c:ptCount val="6"/>
                <c:pt idx="0">
                  <c:v>400</c:v>
                </c:pt>
                <c:pt idx="1">
                  <c:v>300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1-4F01-9092-28DA483A1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Categories (Tracked)</a:t>
            </a:r>
          </a:p>
        </c:rich>
      </c:tx>
      <c:layout>
        <c:manualLayout>
          <c:xMode val="edge"/>
          <c:yMode val="edge"/>
          <c:x val="0.44223429786044849"/>
          <c:y val="3.680000309081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6FE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48-40E4-AB3E-273584295859}"/>
              </c:ext>
            </c:extLst>
          </c:dPt>
          <c:dPt>
            <c:idx val="1"/>
            <c:bubble3D val="0"/>
            <c:spPr>
              <a:solidFill>
                <a:srgbClr val="388BF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D48-40E4-AB3E-273584295859}"/>
              </c:ext>
            </c:extLst>
          </c:dPt>
          <c:dPt>
            <c:idx val="2"/>
            <c:bubble3D val="0"/>
            <c:spPr>
              <a:solidFill>
                <a:srgbClr val="58A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48-40E4-AB3E-273584295859}"/>
              </c:ext>
            </c:extLst>
          </c:dPt>
          <c:dPt>
            <c:idx val="3"/>
            <c:bubble3D val="0"/>
            <c:spPr>
              <a:solidFill>
                <a:srgbClr val="79C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D48-40E4-AB3E-273584295859}"/>
              </c:ext>
            </c:extLst>
          </c:dPt>
          <c:cat>
            <c:strRef>
              <c:f>'Budget Dashboard'!$T$15:$T$18</c:f>
              <c:strCache>
                <c:ptCount val="4"/>
                <c:pt idx="0">
                  <c:v>Savings Transfer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strCache>
            </c:strRef>
          </c:cat>
          <c:val>
            <c:numRef>
              <c:f>'Budget Dashboard'!$U$15:$U$18</c:f>
              <c:numCache>
                <c:formatCode>General</c:formatCode>
                <c:ptCount val="4"/>
                <c:pt idx="0">
                  <c:v>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8-40E4-AB3E-27358429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Tracked vs.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Dashboard'!$U$20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'Budget Dashboard'!$T$21:$T$32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'Budget Dashboard'!$U$21:$U$32</c:f>
              <c:numCache>
                <c:formatCode>"GH₵"#,##0</c:formatCode>
                <c:ptCount val="12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  <c:pt idx="6">
                  <c:v>2800</c:v>
                </c:pt>
                <c:pt idx="7">
                  <c:v>2800</c:v>
                </c:pt>
                <c:pt idx="8">
                  <c:v>2800</c:v>
                </c:pt>
                <c:pt idx="9">
                  <c:v>2800</c:v>
                </c:pt>
                <c:pt idx="10">
                  <c:v>2800</c:v>
                </c:pt>
                <c:pt idx="11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1-401A-8B7F-96E4047411B2}"/>
            </c:ext>
          </c:extLst>
        </c:ser>
        <c:ser>
          <c:idx val="1"/>
          <c:order val="1"/>
          <c:tx>
            <c:strRef>
              <c:f>'Budget Dashboard'!$V$20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2EA043"/>
            </a:solidFill>
            <a:ln>
              <a:noFill/>
            </a:ln>
            <a:effectLst/>
          </c:spPr>
          <c:invertIfNegative val="0"/>
          <c:cat>
            <c:strRef>
              <c:f>'Budget Dashboard'!$T$21:$T$32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'Budget Dashboard'!$V$21:$V$32</c:f>
              <c:numCache>
                <c:formatCode>"GH₵"#,##0</c:formatCode>
                <c:ptCount val="12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  <c:pt idx="6">
                  <c:v>2800</c:v>
                </c:pt>
                <c:pt idx="7">
                  <c:v>2800</c:v>
                </c:pt>
                <c:pt idx="8">
                  <c:v>2800</c:v>
                </c:pt>
                <c:pt idx="9">
                  <c:v>2800</c:v>
                </c:pt>
                <c:pt idx="10">
                  <c:v>2800</c:v>
                </c:pt>
                <c:pt idx="11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F1-401A-8B7F-96E4047411B2}"/>
            </c:ext>
          </c:extLst>
        </c:ser>
        <c:ser>
          <c:idx val="2"/>
          <c:order val="2"/>
          <c:tx>
            <c:strRef>
              <c:f>'Budget Dashboard'!$W$20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D6336C"/>
            </a:solidFill>
            <a:ln>
              <a:noFill/>
            </a:ln>
            <a:effectLst/>
          </c:spPr>
          <c:invertIfNegative val="0"/>
          <c:cat>
            <c:strRef>
              <c:f>'Budget Dashboard'!$T$21:$T$32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'Budget Dashboard'!$W$21:$W$32</c:f>
              <c:numCache>
                <c:formatCode>"GH₵"#,##0</c:formatCode>
                <c:ptCount val="12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F1-401A-8B7F-96E4047411B2}"/>
            </c:ext>
          </c:extLst>
        </c:ser>
        <c:ser>
          <c:idx val="3"/>
          <c:order val="3"/>
          <c:tx>
            <c:strRef>
              <c:f>'Budget Dashboard'!$X$20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rgbClr val="1F6FEB"/>
            </a:solidFill>
            <a:ln>
              <a:noFill/>
            </a:ln>
            <a:effectLst/>
          </c:spPr>
          <c:invertIfNegative val="0"/>
          <c:cat>
            <c:strRef>
              <c:f>'Budget Dashboard'!$T$21:$T$32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'Budget Dashboard'!$X$21:$X$32</c:f>
              <c:numCache>
                <c:formatCode>"GH₵"#,##0</c:formatCode>
                <c:ptCount val="1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F1-401A-8B7F-96E404741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127632"/>
        <c:axId val="1018129072"/>
      </c:barChart>
      <c:catAx>
        <c:axId val="10181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29072"/>
        <c:crosses val="autoZero"/>
        <c:auto val="1"/>
        <c:lblAlgn val="ctr"/>
        <c:lblOffset val="100"/>
        <c:noMultiLvlLbl val="0"/>
      </c:catAx>
      <c:valAx>
        <c:axId val="101812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GH₵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2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Worth — Planned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'Net Worth'!$M$8</c:f>
              <c:strCache>
                <c:ptCount val="1"/>
                <c:pt idx="0">
                  <c:v>Planned Net Worth</c:v>
                </c:pt>
              </c:strCache>
            </c:strRef>
          </c:tx>
          <c:spPr>
            <a:ln w="28575" cap="rnd">
              <a:solidFill>
                <a:srgbClr val="1F6FE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'Net Worth'!$L$9:$L$20</c:f>
              <c:numCache>
                <c:formatCode>mmm\ 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'Net Worth'!$M$9:$M$20</c:f>
              <c:numCache>
                <c:formatCode>"GH₵"#,##0</c:formatCode>
                <c:ptCount val="12"/>
                <c:pt idx="0">
                  <c:v>7760</c:v>
                </c:pt>
                <c:pt idx="1">
                  <c:v>9760</c:v>
                </c:pt>
                <c:pt idx="2">
                  <c:v>11760</c:v>
                </c:pt>
                <c:pt idx="3">
                  <c:v>13760</c:v>
                </c:pt>
                <c:pt idx="4">
                  <c:v>15760</c:v>
                </c:pt>
                <c:pt idx="5">
                  <c:v>17760</c:v>
                </c:pt>
                <c:pt idx="6">
                  <c:v>19760</c:v>
                </c:pt>
                <c:pt idx="7">
                  <c:v>21760</c:v>
                </c:pt>
                <c:pt idx="8">
                  <c:v>23760</c:v>
                </c:pt>
                <c:pt idx="9">
                  <c:v>25760</c:v>
                </c:pt>
                <c:pt idx="10">
                  <c:v>27760</c:v>
                </c:pt>
                <c:pt idx="11">
                  <c:v>29760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7-4115-898B-D22B7C15B51F}"/>
            </c:ext>
          </c:extLst>
        </c:ser>
        <c:ser>
          <c:idx val="1"/>
          <c:order val="1"/>
          <c:tx>
            <c:strRef>
              <c:f>'Net Worth'!$N$8</c:f>
              <c:strCache>
                <c:ptCount val="1"/>
                <c:pt idx="0">
                  <c:v>Actual Net Worth</c:v>
                </c:pt>
              </c:strCache>
            </c:strRef>
          </c:tx>
          <c:spPr>
            <a:ln w="28575" cap="rnd">
              <a:solidFill>
                <a:srgbClr val="1A7F3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'Net Worth'!$L$9:$L$20</c:f>
              <c:numCache>
                <c:formatCode>mmm\ 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'Net Worth'!$N$9:$N$20</c:f>
              <c:numCache>
                <c:formatCode>"GH₵"#,##0</c:formatCode>
                <c:ptCount val="12"/>
                <c:pt idx="0">
                  <c:v>7760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C-4F81-80B8-2F24A04F6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086832"/>
        <c:axId val="1018072912"/>
      </c:lineChart>
      <c:dateAx>
        <c:axId val="1018086832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72912"/>
        <c:crosses val="autoZero"/>
        <c:auto val="1"/>
        <c:lblOffset val="100"/>
        <c:baseTimeUnit val="months"/>
      </c:dateAx>
      <c:valAx>
        <c:axId val="10180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GH₵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8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2" name="NWGrowthExec">
          <a:extLst>
            <a:ext uri="{FF2B5EF4-FFF2-40B4-BE49-F238E27FC236}">
              <a16:creationId xmlns:a16="http://schemas.microsoft.com/office/drawing/2014/main" id="{A03F21AC-3423-83A8-D877-795E5187A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9</xdr:col>
      <xdr:colOff>0</xdr:colOff>
      <xdr:row>22</xdr:row>
      <xdr:rowOff>0</xdr:rowOff>
    </xdr:to>
    <xdr:graphicFrame macro="">
      <xdr:nvGraphicFramePr>
        <xdr:cNvPr id="3" name="SavGrowthExec">
          <a:extLst>
            <a:ext uri="{FF2B5EF4-FFF2-40B4-BE49-F238E27FC236}">
              <a16:creationId xmlns:a16="http://schemas.microsoft.com/office/drawing/2014/main" id="{444B20C7-5EEC-12D5-CC1C-63BE761B7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1</xdr:rowOff>
    </xdr:from>
    <xdr:to>
      <xdr:col>5</xdr:col>
      <xdr:colOff>0</xdr:colOff>
      <xdr:row>36</xdr:row>
      <xdr:rowOff>1</xdr:rowOff>
    </xdr:to>
    <xdr:graphicFrame macro="">
      <xdr:nvGraphicFramePr>
        <xdr:cNvPr id="4" name="ExpBreakExec">
          <a:extLst>
            <a:ext uri="{FF2B5EF4-FFF2-40B4-BE49-F238E27FC236}">
              <a16:creationId xmlns:a16="http://schemas.microsoft.com/office/drawing/2014/main" id="{59E0906D-E714-719B-B839-D7B1654AD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23</xdr:row>
      <xdr:rowOff>1</xdr:rowOff>
    </xdr:from>
    <xdr:to>
      <xdr:col>9</xdr:col>
      <xdr:colOff>0</xdr:colOff>
      <xdr:row>36</xdr:row>
      <xdr:rowOff>1</xdr:rowOff>
    </xdr:to>
    <xdr:graphicFrame macro="">
      <xdr:nvGraphicFramePr>
        <xdr:cNvPr id="5" name="GoalProgExec">
          <a:extLst>
            <a:ext uri="{FF2B5EF4-FFF2-40B4-BE49-F238E27FC236}">
              <a16:creationId xmlns:a16="http://schemas.microsoft.com/office/drawing/2014/main" id="{26D9E57C-CA8B-E7C1-BD0E-0AC662A9C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471487</xdr:colOff>
      <xdr:row>21</xdr:row>
      <xdr:rowOff>160147</xdr:rowOff>
    </xdr:from>
    <xdr:to>
      <xdr:col>3</xdr:col>
      <xdr:colOff>747712</xdr:colOff>
      <xdr:row>23</xdr:row>
      <xdr:rowOff>191897</xdr:rowOff>
    </xdr:to>
    <xdr:sp macro="" textlink="">
      <xdr:nvSpPr>
        <xdr:cNvPr id="7" name="IncCenter">
          <a:extLst>
            <a:ext uri="{FF2B5EF4-FFF2-40B4-BE49-F238E27FC236}">
              <a16:creationId xmlns:a16="http://schemas.microsoft.com/office/drawing/2014/main" id="{2481A144-B129-6DC3-D0EE-B100D35A48B2}"/>
            </a:ext>
          </a:extLst>
        </xdr:cNvPr>
        <xdr:cNvSpPr txBox="1"/>
      </xdr:nvSpPr>
      <xdr:spPr>
        <a:xfrm>
          <a:off x="2481262" y="4884547"/>
          <a:ext cx="1066800" cy="4318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 panose="020F0502020204030204"/>
            </a:rPr>
            <a:t>$5,450</a:t>
          </a:r>
        </a:p>
      </xdr:txBody>
    </xdr:sp>
    <xdr:clientData/>
  </xdr:twoCellAnchor>
  <xdr:twoCellAnchor>
    <xdr:from>
      <xdr:col>9</xdr:col>
      <xdr:colOff>471487</xdr:colOff>
      <xdr:row>21</xdr:row>
      <xdr:rowOff>160147</xdr:rowOff>
    </xdr:from>
    <xdr:to>
      <xdr:col>10</xdr:col>
      <xdr:colOff>747712</xdr:colOff>
      <xdr:row>23</xdr:row>
      <xdr:rowOff>191897</xdr:rowOff>
    </xdr:to>
    <xdr:sp macro="" textlink="">
      <xdr:nvSpPr>
        <xdr:cNvPr id="8" name="ExpCenter">
          <a:extLst>
            <a:ext uri="{FF2B5EF4-FFF2-40B4-BE49-F238E27FC236}">
              <a16:creationId xmlns:a16="http://schemas.microsoft.com/office/drawing/2014/main" id="{632A9BB4-ABDA-F87B-0A7E-A8CB2FBB51AF}"/>
            </a:ext>
          </a:extLst>
        </xdr:cNvPr>
        <xdr:cNvSpPr txBox="1"/>
      </xdr:nvSpPr>
      <xdr:spPr>
        <a:xfrm>
          <a:off x="8281987" y="4884547"/>
          <a:ext cx="1066800" cy="4318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 panose="020F0502020204030204"/>
            </a:rPr>
            <a:t>$4,770</a:t>
          </a:r>
        </a:p>
      </xdr:txBody>
    </xdr:sp>
    <xdr:clientData/>
  </xdr:twoCellAnchor>
  <xdr:twoCellAnchor>
    <xdr:from>
      <xdr:col>16</xdr:col>
      <xdr:colOff>471487</xdr:colOff>
      <xdr:row>21</xdr:row>
      <xdr:rowOff>160147</xdr:rowOff>
    </xdr:from>
    <xdr:to>
      <xdr:col>17</xdr:col>
      <xdr:colOff>747712</xdr:colOff>
      <xdr:row>23</xdr:row>
      <xdr:rowOff>191897</xdr:rowOff>
    </xdr:to>
    <xdr:sp macro="" textlink="">
      <xdr:nvSpPr>
        <xdr:cNvPr id="9" name="SavCenter">
          <a:extLst>
            <a:ext uri="{FF2B5EF4-FFF2-40B4-BE49-F238E27FC236}">
              <a16:creationId xmlns:a16="http://schemas.microsoft.com/office/drawing/2014/main" id="{46C63E15-6F50-1C3A-15FF-F0D7FDB438B9}"/>
            </a:ext>
          </a:extLst>
        </xdr:cNvPr>
        <xdr:cNvSpPr txBox="1"/>
      </xdr:nvSpPr>
      <xdr:spPr>
        <a:xfrm>
          <a:off x="14082712" y="4884547"/>
          <a:ext cx="1066800" cy="4318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 panose="020F0502020204030204"/>
            </a:rPr>
            <a:t>$1,800</a:t>
          </a:r>
        </a:p>
      </xdr:txBody>
    </xdr:sp>
    <xdr:clientData/>
  </xdr:twoCellAnchor>
  <xdr:twoCellAnchor>
    <xdr:from>
      <xdr:col>4</xdr:col>
      <xdr:colOff>571500</xdr:colOff>
      <xdr:row>5</xdr:row>
      <xdr:rowOff>131763</xdr:rowOff>
    </xdr:from>
    <xdr:to>
      <xdr:col>6</xdr:col>
      <xdr:colOff>161925</xdr:colOff>
      <xdr:row>6</xdr:row>
      <xdr:rowOff>68263</xdr:rowOff>
    </xdr:to>
    <xdr:sp macro="" textlink="">
      <xdr:nvSpPr>
        <xdr:cNvPr id="10" name="GaugeCenter">
          <a:extLst>
            <a:ext uri="{FF2B5EF4-FFF2-40B4-BE49-F238E27FC236}">
              <a16:creationId xmlns:a16="http://schemas.microsoft.com/office/drawing/2014/main" id="{8137EE2B-99A6-149D-763B-E397C9DD45E5}"/>
            </a:ext>
          </a:extLst>
        </xdr:cNvPr>
        <xdr:cNvSpPr txBox="1"/>
      </xdr:nvSpPr>
      <xdr:spPr>
        <a:xfrm>
          <a:off x="4162425" y="1360488"/>
          <a:ext cx="1066800" cy="4318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 panose="020F0502020204030204"/>
            </a:rPr>
            <a:t>40%</a:t>
          </a:r>
        </a:p>
      </xdr:txBody>
    </xdr:sp>
    <xdr:clientData/>
  </xdr:twoCellAnchor>
  <xdr:twoCellAnchor>
    <xdr:from>
      <xdr:col>8</xdr:col>
      <xdr:colOff>1</xdr:colOff>
      <xdr:row>11</xdr:row>
      <xdr:rowOff>0</xdr:rowOff>
    </xdr:from>
    <xdr:to>
      <xdr:col>13</xdr:col>
      <xdr:colOff>1</xdr:colOff>
      <xdr:row>26</xdr:row>
      <xdr:rowOff>0</xdr:rowOff>
    </xdr:to>
    <xdr:graphicFrame macro="">
      <xdr:nvGraphicFramePr>
        <xdr:cNvPr id="12" name="IncomeDonut">
          <a:extLst>
            <a:ext uri="{FF2B5EF4-FFF2-40B4-BE49-F238E27FC236}">
              <a16:creationId xmlns:a16="http://schemas.microsoft.com/office/drawing/2014/main" id="{5E8E6EEB-52D5-4395-5F93-9A66E122E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27</xdr:row>
      <xdr:rowOff>0</xdr:rowOff>
    </xdr:from>
    <xdr:to>
      <xdr:col>13</xdr:col>
      <xdr:colOff>1</xdr:colOff>
      <xdr:row>42</xdr:row>
      <xdr:rowOff>0</xdr:rowOff>
    </xdr:to>
    <xdr:graphicFrame macro="">
      <xdr:nvGraphicFramePr>
        <xdr:cNvPr id="13" name="ExpensesDonut">
          <a:extLst>
            <a:ext uri="{FF2B5EF4-FFF2-40B4-BE49-F238E27FC236}">
              <a16:creationId xmlns:a16="http://schemas.microsoft.com/office/drawing/2014/main" id="{3C8F58E7-A955-EAE8-49AB-384F9E017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27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14" name="SavingsDonut">
          <a:extLst>
            <a:ext uri="{FF2B5EF4-FFF2-40B4-BE49-F238E27FC236}">
              <a16:creationId xmlns:a16="http://schemas.microsoft.com/office/drawing/2014/main" id="{65C983BF-3C74-4EFE-79EC-1592FD60D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18</xdr:col>
      <xdr:colOff>0</xdr:colOff>
      <xdr:row>26</xdr:row>
      <xdr:rowOff>0</xdr:rowOff>
    </xdr:to>
    <xdr:graphicFrame macro="">
      <xdr:nvGraphicFramePr>
        <xdr:cNvPr id="15" name="TrackedVsBudget">
          <a:extLst>
            <a:ext uri="{FF2B5EF4-FFF2-40B4-BE49-F238E27FC236}">
              <a16:creationId xmlns:a16="http://schemas.microsoft.com/office/drawing/2014/main" id="{ED17851A-3B6E-0317-3196-BE316FA24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2" name="NetWorthGrowth">
          <a:extLst>
            <a:ext uri="{FF2B5EF4-FFF2-40B4-BE49-F238E27FC236}">
              <a16:creationId xmlns:a16="http://schemas.microsoft.com/office/drawing/2014/main" id="{46E1D231-516C-12C1-1A3A-93F1DBECA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D1727-58F5-4654-8209-F12CC45C1C92}" name="Transactions" displayName="Transactions" ref="A4:E9" totalsRowShown="0" headerRowDxfId="6">
  <autoFilter ref="A4:E9" xr:uid="{584D1727-58F5-4654-8209-F12CC45C1C92}"/>
  <tableColumns count="5">
    <tableColumn id="1" xr3:uid="{73019138-32FA-4DD9-9396-14A3505A4BCC}" name="Date" dataDxfId="5"/>
    <tableColumn id="2" xr3:uid="{4B576F9E-43E4-400C-BB02-1AA430E15888}" name="Description"/>
    <tableColumn id="3" xr3:uid="{F719374D-41E8-41CA-A776-D634383D4DD1}" name="Category"/>
    <tableColumn id="4" xr3:uid="{465DB86A-E19A-44E3-9512-B309112FF7A4}" name="Type"/>
    <tableColumn id="5" xr3:uid="{CEB82322-9404-4720-88BB-D54DE4642F6F}" name="Amoun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58bd17-b60a-4136-98c0-0264ec059958}">
  <we:reference id="WA200009404" version="1.0.0.8" store="en-US" storeType="OMEX"/>
  <we:alternateReferences/>
  <we:properties>
    <we:property name="Microsoft.Office.CampaignId" value="&quot;none&quot;"/>
    <we:property name="claude.fileId" value="&quot;4e46cd4c-6cb7-4ba1-98dd-a81ace04d72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6656-A6E4-4DFF-A414-1D2CABCDDFFE}">
  <dimension ref="A1:Z60"/>
  <sheetViews>
    <sheetView zoomScale="86" workbookViewId="0">
      <selection activeCell="U17" sqref="U17"/>
    </sheetView>
  </sheetViews>
  <sheetFormatPr defaultRowHeight="15.75" outlineLevelCol="1" x14ac:dyDescent="0.25"/>
  <cols>
    <col min="1" max="1" width="2.375" customWidth="1"/>
    <col min="2" max="9" width="15.375" customWidth="1"/>
    <col min="10" max="10" width="2.375" customWidth="1"/>
    <col min="12" max="20" width="0" hidden="1" customWidth="1" outlineLevel="1"/>
    <col min="21" max="21" width="9" collapsed="1"/>
  </cols>
  <sheetData>
    <row r="1" spans="1:26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5">
      <c r="A2" s="19"/>
      <c r="B2" s="110" t="s">
        <v>161</v>
      </c>
      <c r="C2" s="111"/>
      <c r="D2" s="111"/>
      <c r="E2" s="111"/>
      <c r="F2" s="111"/>
      <c r="G2" s="111"/>
      <c r="H2" s="111"/>
      <c r="I2" s="111"/>
      <c r="J2" s="19"/>
      <c r="K2" s="19"/>
      <c r="L2" s="19" t="s">
        <v>60</v>
      </c>
      <c r="M2" s="19" t="s">
        <v>7</v>
      </c>
      <c r="N2" s="19" t="s">
        <v>60</v>
      </c>
      <c r="O2" s="19" t="s">
        <v>9</v>
      </c>
      <c r="P2" s="19" t="s">
        <v>51</v>
      </c>
      <c r="Q2" s="19" t="s">
        <v>92</v>
      </c>
      <c r="R2" s="19"/>
      <c r="S2" s="19" t="s">
        <v>167</v>
      </c>
      <c r="T2" s="19" t="s">
        <v>149</v>
      </c>
      <c r="U2" s="19"/>
      <c r="V2" s="19"/>
      <c r="W2" s="19"/>
      <c r="X2" s="19"/>
      <c r="Y2" s="19"/>
      <c r="Z2" s="19"/>
    </row>
    <row r="3" spans="1:26" x14ac:dyDescent="0.25">
      <c r="A3" s="19"/>
      <c r="B3" s="111"/>
      <c r="C3" s="111"/>
      <c r="D3" s="111"/>
      <c r="E3" s="111"/>
      <c r="F3" s="111"/>
      <c r="G3" s="111"/>
      <c r="H3" s="111"/>
      <c r="I3" s="111"/>
      <c r="J3" s="19"/>
      <c r="K3" s="19"/>
      <c r="L3" s="42">
        <f>'Net Worth'!A9</f>
        <v>46174</v>
      </c>
      <c r="M3" s="52">
        <f>'Net Worth'!J9</f>
        <v>7760</v>
      </c>
      <c r="N3" s="42">
        <f>'Net Worth'!A9</f>
        <v>46174</v>
      </c>
      <c r="O3" s="52">
        <f>'Net Worth'!B9</f>
        <v>8000</v>
      </c>
      <c r="P3" s="19" t="s">
        <v>94</v>
      </c>
      <c r="Q3" s="52">
        <f>'Monthly Budget'!C12</f>
        <v>400</v>
      </c>
      <c r="R3" s="19"/>
      <c r="S3" s="19" t="str">
        <f>'Goals &amp; FIRE'!A5</f>
        <v>Clear GH₵240 loan</v>
      </c>
      <c r="T3" s="53">
        <f>'Goals &amp; FIRE'!D5</f>
        <v>0</v>
      </c>
      <c r="U3" s="19"/>
      <c r="V3" s="19"/>
      <c r="W3" s="19"/>
      <c r="X3" s="19"/>
      <c r="Y3" s="19"/>
      <c r="Z3" s="19"/>
    </row>
    <row r="4" spans="1:26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42">
        <f>'Net Worth'!A10</f>
        <v>46204</v>
      </c>
      <c r="M4" s="52">
        <f>'Net Worth'!J10</f>
        <v>9760</v>
      </c>
      <c r="N4" s="42">
        <f>'Net Worth'!A10</f>
        <v>46204</v>
      </c>
      <c r="O4" s="52">
        <f>'Net Worth'!B10</f>
        <v>9760</v>
      </c>
      <c r="P4" s="19" t="s">
        <v>97</v>
      </c>
      <c r="Q4" s="52">
        <f>'Monthly Budget'!C13</f>
        <v>300</v>
      </c>
      <c r="R4" s="19"/>
      <c r="S4" s="19" t="str">
        <f>'Goals &amp; FIRE'!A6</f>
        <v>Reach GH₵10,000 savings</v>
      </c>
      <c r="T4" s="53">
        <f>'Goals &amp; FIRE'!D6</f>
        <v>0.8</v>
      </c>
      <c r="U4" s="19"/>
      <c r="V4" s="19"/>
      <c r="W4" s="19"/>
      <c r="X4" s="19"/>
      <c r="Y4" s="19"/>
      <c r="Z4" s="19"/>
    </row>
    <row r="5" spans="1:26" ht="20.100000000000001" customHeight="1" x14ac:dyDescent="0.25">
      <c r="A5" s="19"/>
      <c r="B5" s="112" t="s">
        <v>162</v>
      </c>
      <c r="C5" s="113"/>
      <c r="D5" s="113" t="s">
        <v>12</v>
      </c>
      <c r="E5" s="113"/>
      <c r="F5" s="113" t="s">
        <v>13</v>
      </c>
      <c r="G5" s="113"/>
      <c r="H5" s="113" t="s">
        <v>163</v>
      </c>
      <c r="I5" s="114"/>
      <c r="J5" s="19"/>
      <c r="K5" s="19"/>
      <c r="L5" s="42">
        <f>'Net Worth'!A11</f>
        <v>46235</v>
      </c>
      <c r="M5" s="52">
        <f>'Net Worth'!J11</f>
        <v>11760</v>
      </c>
      <c r="N5" s="42">
        <f>'Net Worth'!A11</f>
        <v>46235</v>
      </c>
      <c r="O5" s="52">
        <f>'Net Worth'!B11</f>
        <v>11760</v>
      </c>
      <c r="P5" s="19" t="s">
        <v>166</v>
      </c>
      <c r="Q5" s="52">
        <f>'Monthly Budget'!C14</f>
        <v>100</v>
      </c>
      <c r="R5" s="19"/>
      <c r="S5" s="19" t="str">
        <f>'Goals &amp; FIRE'!A7</f>
        <v>Reach GH₵20,000 savings</v>
      </c>
      <c r="T5" s="53">
        <f>'Goals &amp; FIRE'!D7</f>
        <v>0.4</v>
      </c>
      <c r="U5" s="19"/>
      <c r="V5" s="19"/>
      <c r="W5" s="19"/>
      <c r="X5" s="19"/>
      <c r="Y5" s="19"/>
      <c r="Z5" s="19"/>
    </row>
    <row r="6" spans="1:26" ht="33.950000000000003" customHeight="1" x14ac:dyDescent="0.25">
      <c r="A6" s="19"/>
      <c r="B6" s="103">
        <f>'Net Worth'!B9</f>
        <v>8000</v>
      </c>
      <c r="C6" s="104"/>
      <c r="D6" s="105">
        <f>'Net Worth'!J9</f>
        <v>7760</v>
      </c>
      <c r="E6" s="104"/>
      <c r="F6" s="106">
        <f>'Monthly Budget'!C28</f>
        <v>0.7142857142857143</v>
      </c>
      <c r="G6" s="107"/>
      <c r="H6" s="108">
        <f>'Monthly Budget'!C24</f>
        <v>2000</v>
      </c>
      <c r="I6" s="109"/>
      <c r="J6" s="19"/>
      <c r="K6" s="19"/>
      <c r="L6" s="42">
        <f>'Net Worth'!A12</f>
        <v>46266</v>
      </c>
      <c r="M6" s="52">
        <f>'Net Worth'!J12</f>
        <v>13760</v>
      </c>
      <c r="N6" s="42">
        <f>'Net Worth'!A12</f>
        <v>46266</v>
      </c>
      <c r="O6" s="52">
        <f>'Net Worth'!B12</f>
        <v>13760</v>
      </c>
      <c r="P6" s="19" t="s">
        <v>73</v>
      </c>
      <c r="Q6" s="52">
        <f>SUM('Monthly Budget'!C15:C19)</f>
        <v>0</v>
      </c>
      <c r="R6" s="19"/>
      <c r="S6" s="19" t="str">
        <f>'Goals &amp; FIRE'!A8</f>
        <v>Build 6-month emergency fund</v>
      </c>
      <c r="T6" s="53">
        <f>'Goals &amp; FIRE'!D8</f>
        <v>1</v>
      </c>
      <c r="U6" s="19"/>
      <c r="V6" s="19"/>
      <c r="W6" s="19"/>
      <c r="X6" s="19"/>
      <c r="Y6" s="19"/>
      <c r="Z6" s="19"/>
    </row>
    <row r="7" spans="1:26" x14ac:dyDescent="0.25">
      <c r="A7" s="19"/>
      <c r="B7" s="67"/>
      <c r="C7" s="68"/>
      <c r="D7" s="68"/>
      <c r="E7" s="68"/>
      <c r="F7" s="68"/>
      <c r="G7" s="68"/>
      <c r="H7" s="68"/>
      <c r="I7" s="69"/>
      <c r="J7" s="19"/>
      <c r="K7" s="19"/>
      <c r="L7" s="42">
        <f>'Net Worth'!A13</f>
        <v>46296</v>
      </c>
      <c r="M7" s="52">
        <f>'Net Worth'!J13</f>
        <v>15760</v>
      </c>
      <c r="N7" s="42">
        <f>'Net Worth'!A13</f>
        <v>46296</v>
      </c>
      <c r="O7" s="52">
        <f>'Net Worth'!B13</f>
        <v>15760</v>
      </c>
      <c r="P7" s="19"/>
      <c r="Q7" s="19"/>
      <c r="R7" s="19"/>
      <c r="S7" s="19" t="str">
        <f>'Goals &amp; FIRE'!A9</f>
        <v>Net worth GH₵20,000 by Dec 2026</v>
      </c>
      <c r="T7" s="53">
        <f>'Goals &amp; FIRE'!D9</f>
        <v>0.38800000000000001</v>
      </c>
      <c r="U7" s="19"/>
      <c r="V7" s="19"/>
      <c r="W7" s="19"/>
      <c r="X7" s="19"/>
      <c r="Y7" s="19"/>
      <c r="Z7" s="19"/>
    </row>
    <row r="8" spans="1:26" ht="20.100000000000001" customHeight="1" x14ac:dyDescent="0.25">
      <c r="A8" s="19"/>
      <c r="B8" s="115" t="s">
        <v>164</v>
      </c>
      <c r="C8" s="116"/>
      <c r="D8" s="116" t="s">
        <v>14</v>
      </c>
      <c r="E8" s="116"/>
      <c r="F8" s="116" t="s">
        <v>165</v>
      </c>
      <c r="G8" s="116"/>
      <c r="H8" s="116" t="s">
        <v>171</v>
      </c>
      <c r="I8" s="117"/>
      <c r="J8" s="19"/>
      <c r="K8" s="19"/>
      <c r="L8" s="42">
        <f>'Net Worth'!A14</f>
        <v>46327</v>
      </c>
      <c r="M8" s="52">
        <f>'Net Worth'!J14</f>
        <v>17760</v>
      </c>
      <c r="N8" s="42">
        <f>'Net Worth'!A14</f>
        <v>46327</v>
      </c>
      <c r="O8" s="52">
        <f>'Net Worth'!B14</f>
        <v>17760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33.950000000000003" customHeight="1" x14ac:dyDescent="0.25">
      <c r="A9" s="19"/>
      <c r="B9" s="118">
        <f>'Net Worth'!C6</f>
        <v>240</v>
      </c>
      <c r="C9" s="119"/>
      <c r="D9" s="120">
        <f>'Contract &amp; Runway'!C16</f>
        <v>10</v>
      </c>
      <c r="E9" s="121"/>
      <c r="F9" s="122">
        <f ca="1">'Contract &amp; Runway'!C8</f>
        <v>5</v>
      </c>
      <c r="G9" s="123"/>
      <c r="H9" s="124">
        <f>'Net Worth'!J15</f>
        <v>19760</v>
      </c>
      <c r="I9" s="125"/>
      <c r="J9" s="19"/>
      <c r="K9" s="19"/>
      <c r="L9" s="42">
        <f>'Net Worth'!A15</f>
        <v>46357</v>
      </c>
      <c r="M9" s="52">
        <f>'Net Worth'!J15</f>
        <v>19760</v>
      </c>
      <c r="N9" s="42">
        <f>'Net Worth'!A15</f>
        <v>46357</v>
      </c>
      <c r="O9" s="52">
        <f>'Net Worth'!B15</f>
        <v>19760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42"/>
      <c r="M10" s="52"/>
      <c r="N10" s="42"/>
      <c r="O10" s="52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42"/>
      <c r="M11" s="52"/>
      <c r="N11" s="42"/>
      <c r="O11" s="52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42"/>
      <c r="M12" s="52"/>
      <c r="N12" s="42"/>
      <c r="O12" s="52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42"/>
      <c r="M13" s="52"/>
      <c r="N13" s="42"/>
      <c r="O13" s="52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42"/>
      <c r="M14" s="52"/>
      <c r="N14" s="42"/>
      <c r="O14" s="52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</sheetData>
  <mergeCells count="17">
    <mergeCell ref="B8:C8"/>
    <mergeCell ref="D8:E8"/>
    <mergeCell ref="F8:G8"/>
    <mergeCell ref="H8:I8"/>
    <mergeCell ref="B9:C9"/>
    <mergeCell ref="D9:E9"/>
    <mergeCell ref="F9:G9"/>
    <mergeCell ref="H9:I9"/>
    <mergeCell ref="B6:C6"/>
    <mergeCell ref="D6:E6"/>
    <mergeCell ref="F6:G6"/>
    <mergeCell ref="H6:I6"/>
    <mergeCell ref="B2:I3"/>
    <mergeCell ref="B5:C5"/>
    <mergeCell ref="D5:E5"/>
    <mergeCell ref="F5:G5"/>
    <mergeCell ref="H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F722-092E-4F06-802A-6E826E205311}">
  <sheetPr>
    <tabColor rgb="FF0D1117"/>
  </sheetPr>
  <dimension ref="A1:AD80"/>
  <sheetViews>
    <sheetView showGridLines="0" tabSelected="1" zoomScale="59" zoomScaleNormal="106" workbookViewId="0">
      <selection activeCell="S26" sqref="S26"/>
    </sheetView>
  </sheetViews>
  <sheetFormatPr defaultRowHeight="15" outlineLevelCol="1" x14ac:dyDescent="0.2"/>
  <cols>
    <col min="1" max="1" width="1.625" style="66" customWidth="1"/>
    <col min="2" max="2" width="50.125" style="66" bestFit="1" customWidth="1"/>
    <col min="3" max="4" width="13.25" style="66" bestFit="1" customWidth="1"/>
    <col min="5" max="5" width="12.375" style="66" bestFit="1" customWidth="1"/>
    <col min="6" max="6" width="13.875" style="66" bestFit="1" customWidth="1"/>
    <col min="7" max="7" width="9.875" style="66" bestFit="1" customWidth="1"/>
    <col min="8" max="8" width="2.625" style="66" customWidth="1"/>
    <col min="9" max="9" width="27.875" style="66" bestFit="1" customWidth="1"/>
    <col min="10" max="12" width="9" style="66" customWidth="1"/>
    <col min="13" max="13" width="2.625" style="66" customWidth="1"/>
    <col min="14" max="15" width="7.625" style="66" bestFit="1" customWidth="1"/>
    <col min="16" max="17" width="9" style="66" customWidth="1"/>
    <col min="18" max="18" width="5" style="66" customWidth="1"/>
    <col min="19" max="19" width="8.375" style="66" customWidth="1"/>
    <col min="20" max="20" width="19.875" style="66" bestFit="1" customWidth="1" outlineLevel="1"/>
    <col min="21" max="22" width="11.625" style="66" bestFit="1" customWidth="1" outlineLevel="1"/>
    <col min="23" max="23" width="10.75" style="66" bestFit="1" customWidth="1" outlineLevel="1"/>
    <col min="24" max="24" width="11.625" style="66" bestFit="1" customWidth="1" outlineLevel="1"/>
    <col min="25" max="27" width="11.625" style="66" customWidth="1"/>
    <col min="28" max="28" width="3" style="66" customWidth="1"/>
    <col min="29" max="16384" width="9" style="66"/>
  </cols>
  <sheetData>
    <row r="1" spans="1:30" ht="15.75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 t="s">
        <v>71</v>
      </c>
      <c r="U1" s="70"/>
      <c r="V1" s="70"/>
      <c r="W1" s="70"/>
      <c r="X1" s="70"/>
      <c r="Y1" s="65"/>
      <c r="Z1" s="65"/>
      <c r="AA1" s="65"/>
      <c r="AB1" s="65"/>
      <c r="AC1" s="65"/>
      <c r="AD1" s="65"/>
    </row>
    <row r="2" spans="1:30" ht="30" customHeight="1" x14ac:dyDescent="0.35">
      <c r="A2" s="70"/>
      <c r="B2" s="96" t="s">
        <v>59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0"/>
      <c r="T2" s="70" t="str">
        <f t="shared" ref="T2:U4" si="0">B13</f>
        <v>Salary</v>
      </c>
      <c r="U2" s="70">
        <f t="shared" si="0"/>
        <v>2800</v>
      </c>
      <c r="V2" s="70"/>
      <c r="W2" s="70"/>
      <c r="X2" s="70"/>
      <c r="Y2" s="65"/>
      <c r="Z2" s="65"/>
      <c r="AA2" s="65"/>
      <c r="AB2" s="65"/>
      <c r="AC2" s="65"/>
      <c r="AD2" s="65"/>
    </row>
    <row r="3" spans="1:30" ht="15.75" x14ac:dyDescent="0.25">
      <c r="A3" s="70"/>
      <c r="B3" s="97" t="s">
        <v>160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0"/>
      <c r="T3" s="70" t="str">
        <f t="shared" si="0"/>
        <v>Other Income</v>
      </c>
      <c r="U3" s="70">
        <f t="shared" si="0"/>
        <v>0</v>
      </c>
      <c r="V3" s="70"/>
      <c r="W3" s="70"/>
      <c r="X3" s="70"/>
      <c r="Y3" s="65"/>
      <c r="Z3" s="65"/>
      <c r="AA3" s="65"/>
      <c r="AB3" s="65"/>
      <c r="AC3" s="65"/>
      <c r="AD3" s="65"/>
    </row>
    <row r="4" spans="1:30" ht="15.75" x14ac:dyDescent="0.25">
      <c r="A4" s="7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0"/>
      <c r="T4" s="70">
        <f t="shared" si="0"/>
        <v>0</v>
      </c>
      <c r="U4" s="70">
        <f t="shared" si="0"/>
        <v>0</v>
      </c>
      <c r="V4" s="70"/>
      <c r="W4" s="70"/>
      <c r="X4" s="70"/>
      <c r="Y4" s="65"/>
      <c r="Z4" s="65"/>
      <c r="AA4" s="65"/>
      <c r="AB4" s="65"/>
      <c r="AC4" s="65"/>
      <c r="AD4" s="65"/>
    </row>
    <row r="5" spans="1:30" ht="15.95" customHeight="1" x14ac:dyDescent="0.25">
      <c r="A5" s="70"/>
      <c r="B5" s="126" t="s">
        <v>172</v>
      </c>
      <c r="C5" s="126"/>
      <c r="D5" s="126" t="s">
        <v>62</v>
      </c>
      <c r="E5" s="126"/>
      <c r="F5" s="126" t="s">
        <v>63</v>
      </c>
      <c r="G5" s="126"/>
      <c r="H5" s="126"/>
      <c r="I5" s="126" t="s">
        <v>65</v>
      </c>
      <c r="J5" s="126"/>
      <c r="K5" s="126"/>
      <c r="L5" s="126"/>
      <c r="M5" s="72"/>
      <c r="N5" s="73" t="s">
        <v>66</v>
      </c>
      <c r="O5" s="74" t="str">
        <f>TEXT('Monthly Budget'!$B$4,"yyyy")</f>
        <v>2026</v>
      </c>
      <c r="P5" s="72"/>
      <c r="Q5" s="72"/>
      <c r="R5" s="72"/>
      <c r="S5" s="70"/>
      <c r="T5" s="70"/>
      <c r="U5" s="70"/>
      <c r="V5" s="70"/>
      <c r="W5" s="70"/>
      <c r="X5" s="70"/>
      <c r="Y5" s="65"/>
      <c r="Z5" s="65"/>
      <c r="AA5" s="65"/>
      <c r="AB5" s="65"/>
      <c r="AC5" s="65"/>
      <c r="AD5" s="65"/>
    </row>
    <row r="6" spans="1:30" ht="21.95" customHeight="1" x14ac:dyDescent="0.25">
      <c r="A6" s="70"/>
      <c r="B6" s="128">
        <v>46174</v>
      </c>
      <c r="C6" s="129"/>
      <c r="D6" s="130">
        <f>IFERROR('Monthly Budget'!C9/'Monthly Budget'!B9,0)</f>
        <v>1</v>
      </c>
      <c r="E6" s="130"/>
      <c r="F6" s="131">
        <f>'Monthly Budget'!C27</f>
        <v>0</v>
      </c>
      <c r="G6" s="129"/>
      <c r="H6" s="129"/>
      <c r="I6" s="127" t="str">
        <f>"You are saving "&amp;TEXT('Monthly Budget'!C28,"0.0%")&amp;" of your income"</f>
        <v>You are saving 71.4% of your income</v>
      </c>
      <c r="J6" s="127"/>
      <c r="K6" s="127"/>
      <c r="L6" s="127"/>
      <c r="M6" s="72"/>
      <c r="N6" s="73" t="s">
        <v>67</v>
      </c>
      <c r="O6" s="74" t="str">
        <f>TEXT('Monthly Budget'!$B$4,"mmmm")</f>
        <v>June</v>
      </c>
      <c r="P6" s="72"/>
      <c r="Q6" s="72"/>
      <c r="R6" s="72"/>
      <c r="S6" s="70"/>
      <c r="T6" s="70" t="s">
        <v>72</v>
      </c>
      <c r="U6" s="70"/>
      <c r="V6" s="70"/>
      <c r="W6" s="70"/>
      <c r="X6" s="70"/>
      <c r="Y6" s="65"/>
      <c r="Z6" s="65"/>
      <c r="AA6" s="65"/>
      <c r="AB6" s="65"/>
      <c r="AC6" s="65"/>
      <c r="AD6" s="65"/>
    </row>
    <row r="7" spans="1:30" ht="15.95" customHeight="1" x14ac:dyDescent="0.25">
      <c r="A7" s="70"/>
      <c r="B7" s="129"/>
      <c r="C7" s="129"/>
      <c r="D7" s="130"/>
      <c r="E7" s="130"/>
      <c r="F7" s="132" t="s">
        <v>64</v>
      </c>
      <c r="G7" s="132"/>
      <c r="H7" s="132"/>
      <c r="I7" s="127"/>
      <c r="J7" s="127"/>
      <c r="K7" s="127"/>
      <c r="L7" s="127"/>
      <c r="M7" s="72"/>
      <c r="N7" s="72"/>
      <c r="O7" s="72"/>
      <c r="P7" s="72"/>
      <c r="Q7" s="72"/>
      <c r="R7" s="72"/>
      <c r="S7" s="70"/>
      <c r="T7" s="70" t="str">
        <f t="shared" ref="T7:U11" si="1">B19</f>
        <v>Family Support</v>
      </c>
      <c r="U7" s="70">
        <f t="shared" si="1"/>
        <v>400</v>
      </c>
      <c r="V7" s="70"/>
      <c r="W7" s="70"/>
      <c r="X7" s="70"/>
      <c r="Y7" s="65"/>
      <c r="Z7" s="65"/>
      <c r="AA7" s="65"/>
      <c r="AB7" s="65"/>
      <c r="AC7" s="65"/>
      <c r="AD7" s="65"/>
    </row>
    <row r="8" spans="1:30" ht="15.75" x14ac:dyDescent="0.25">
      <c r="A8" s="70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0"/>
      <c r="T8" s="70" t="str">
        <f t="shared" si="1"/>
        <v>Tithe</v>
      </c>
      <c r="U8" s="70">
        <f t="shared" si="1"/>
        <v>300</v>
      </c>
      <c r="V8" s="70"/>
      <c r="W8" s="70"/>
      <c r="X8" s="70"/>
      <c r="Y8" s="65"/>
      <c r="Z8" s="65"/>
      <c r="AA8" s="65"/>
      <c r="AB8" s="65"/>
      <c r="AC8" s="65"/>
      <c r="AD8" s="65"/>
    </row>
    <row r="9" spans="1:30" ht="15.75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 t="str">
        <f t="shared" si="1"/>
        <v>Personal Spending</v>
      </c>
      <c r="U9" s="70">
        <f t="shared" si="1"/>
        <v>100</v>
      </c>
      <c r="V9" s="70"/>
      <c r="W9" s="70"/>
      <c r="X9" s="70"/>
      <c r="Y9" s="65"/>
      <c r="Z9" s="65"/>
      <c r="AA9" s="65"/>
      <c r="AB9" s="65"/>
      <c r="AC9" s="65"/>
      <c r="AD9" s="65"/>
    </row>
    <row r="10" spans="1:30" ht="15.75" x14ac:dyDescent="0.25">
      <c r="A10" s="70"/>
      <c r="B10" s="71" t="str">
        <f>"Breakdown — "&amp;TEXT('Monthly Budget'!$B$4,"mmmm yyyy")</f>
        <v>Breakdown — June 2026</v>
      </c>
      <c r="C10" s="72"/>
      <c r="D10" s="72"/>
      <c r="E10" s="72"/>
      <c r="F10" s="72"/>
      <c r="G10" s="72"/>
      <c r="H10" s="70"/>
      <c r="I10" s="71" t="str">
        <f>"Summary — "&amp;TEXT('Monthly Budget'!$B$4,"mmmm yyyy")</f>
        <v>Summary — June 2026</v>
      </c>
      <c r="J10" s="72"/>
      <c r="K10" s="72"/>
      <c r="L10" s="72"/>
      <c r="M10" s="72"/>
      <c r="N10" s="72"/>
      <c r="O10" s="72"/>
      <c r="P10" s="72"/>
      <c r="Q10" s="72"/>
      <c r="R10" s="72"/>
      <c r="S10" s="70"/>
      <c r="T10" s="70" t="str">
        <f t="shared" si="1"/>
        <v>Transport</v>
      </c>
      <c r="U10" s="70">
        <f t="shared" si="1"/>
        <v>0</v>
      </c>
      <c r="V10" s="70"/>
      <c r="W10" s="70"/>
      <c r="X10" s="70"/>
      <c r="Y10" s="65"/>
      <c r="Z10" s="65"/>
      <c r="AA10" s="65"/>
      <c r="AB10" s="65"/>
      <c r="AC10" s="65"/>
      <c r="AD10" s="65"/>
    </row>
    <row r="11" spans="1:30" ht="15.75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 t="str">
        <f t="shared" si="1"/>
        <v>Food</v>
      </c>
      <c r="U11" s="70">
        <f t="shared" si="1"/>
        <v>0</v>
      </c>
      <c r="V11" s="70"/>
      <c r="W11" s="70"/>
      <c r="X11" s="70"/>
      <c r="Y11" s="65"/>
      <c r="Z11" s="65"/>
      <c r="AA11" s="65"/>
      <c r="AB11" s="65"/>
      <c r="AC11" s="65"/>
      <c r="AD11" s="65"/>
    </row>
    <row r="12" spans="1:30" ht="15.75" x14ac:dyDescent="0.25">
      <c r="A12" s="70"/>
      <c r="B12" s="75" t="s">
        <v>61</v>
      </c>
      <c r="C12" s="76" t="s">
        <v>52</v>
      </c>
      <c r="D12" s="76" t="s">
        <v>53</v>
      </c>
      <c r="E12" s="77" t="s">
        <v>68</v>
      </c>
      <c r="F12" s="76" t="s">
        <v>54</v>
      </c>
      <c r="G12" s="76" t="s">
        <v>69</v>
      </c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 t="s">
        <v>73</v>
      </c>
      <c r="U12" s="70">
        <f>SUM(C24:C27)</f>
        <v>0</v>
      </c>
      <c r="V12" s="70"/>
      <c r="W12" s="70"/>
      <c r="X12" s="70"/>
      <c r="Y12" s="65"/>
      <c r="Z12" s="65"/>
      <c r="AA12" s="65"/>
      <c r="AB12" s="65"/>
      <c r="AC12" s="65"/>
      <c r="AD12" s="65"/>
    </row>
    <row r="13" spans="1:30" ht="15.75" x14ac:dyDescent="0.25">
      <c r="A13" s="70"/>
      <c r="B13" s="70" t="s">
        <v>2</v>
      </c>
      <c r="C13" s="78">
        <f>'Monthly Budget'!C7</f>
        <v>2800</v>
      </c>
      <c r="D13" s="78">
        <f>'Monthly Budget'!B7</f>
        <v>2800</v>
      </c>
      <c r="E13" s="79">
        <f>IFERROR(C13/D13,"")</f>
        <v>1</v>
      </c>
      <c r="F13" s="80">
        <f>MAX(D13-C13,0)</f>
        <v>0</v>
      </c>
      <c r="G13" s="81">
        <f>MAX(C13-D13,0)</f>
        <v>0</v>
      </c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65"/>
      <c r="Z13" s="65"/>
      <c r="AA13" s="65"/>
      <c r="AB13" s="65"/>
      <c r="AC13" s="65"/>
      <c r="AD13" s="65"/>
    </row>
    <row r="14" spans="1:30" ht="15.75" x14ac:dyDescent="0.25">
      <c r="A14" s="70"/>
      <c r="B14" s="70" t="s">
        <v>112</v>
      </c>
      <c r="C14" s="78">
        <f>'Monthly Budget'!C8</f>
        <v>0</v>
      </c>
      <c r="D14" s="78">
        <f>'Monthly Budget'!B8</f>
        <v>0</v>
      </c>
      <c r="E14" s="79" t="str">
        <f>IFERROR(C14/D14,"")</f>
        <v/>
      </c>
      <c r="F14" s="80">
        <f>MAX(D14-C14,0)</f>
        <v>0</v>
      </c>
      <c r="G14" s="81">
        <f>MAX(C14-D14,0)</f>
        <v>0</v>
      </c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 t="s">
        <v>74</v>
      </c>
      <c r="U14" s="70"/>
      <c r="V14" s="70"/>
      <c r="W14" s="70"/>
      <c r="X14" s="70"/>
      <c r="Y14" s="65"/>
      <c r="Z14" s="65"/>
      <c r="AA14" s="65"/>
      <c r="AB14" s="65"/>
      <c r="AC14" s="65"/>
      <c r="AD14" s="65"/>
    </row>
    <row r="15" spans="1:30" ht="15.75" x14ac:dyDescent="0.25">
      <c r="A15" s="70"/>
      <c r="B15" s="70"/>
      <c r="C15" s="80"/>
      <c r="D15" s="80"/>
      <c r="E15" s="79"/>
      <c r="F15" s="80"/>
      <c r="G15" s="81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 t="str">
        <f t="shared" ref="T15:U18" si="2">B31</f>
        <v>Savings Transfer</v>
      </c>
      <c r="U15" s="70">
        <f t="shared" si="2"/>
        <v>2000</v>
      </c>
      <c r="V15" s="70"/>
      <c r="W15" s="70"/>
      <c r="X15" s="70"/>
      <c r="Y15" s="65"/>
      <c r="Z15" s="65"/>
      <c r="AA15" s="65"/>
      <c r="AB15" s="65"/>
      <c r="AC15" s="65"/>
      <c r="AD15" s="65"/>
    </row>
    <row r="16" spans="1:30" ht="15.75" x14ac:dyDescent="0.25">
      <c r="A16" s="70"/>
      <c r="B16" s="82" t="s">
        <v>56</v>
      </c>
      <c r="C16" s="83">
        <f>SUM(C13:C15)</f>
        <v>2800</v>
      </c>
      <c r="D16" s="83">
        <f>SUM(D13:D15)</f>
        <v>2800</v>
      </c>
      <c r="E16" s="79">
        <f>C16/D16</f>
        <v>1</v>
      </c>
      <c r="F16" s="83">
        <f>SUM(F13:F15)</f>
        <v>0</v>
      </c>
      <c r="G16" s="84">
        <f>SUM(G13:G15)</f>
        <v>0</v>
      </c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>
        <f t="shared" si="2"/>
        <v>0</v>
      </c>
      <c r="U16" s="70">
        <f t="shared" si="2"/>
        <v>0</v>
      </c>
      <c r="V16" s="70"/>
      <c r="W16" s="70"/>
      <c r="X16" s="70"/>
      <c r="Y16" s="65"/>
      <c r="Z16" s="65"/>
      <c r="AA16" s="65"/>
      <c r="AB16" s="65"/>
      <c r="AC16" s="65"/>
      <c r="AD16" s="65"/>
    </row>
    <row r="17" spans="1:30" ht="15.75" x14ac:dyDescent="0.25">
      <c r="A17" s="70"/>
      <c r="B17" s="70"/>
      <c r="C17" s="70"/>
      <c r="D17" s="70"/>
      <c r="E17" s="85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>
        <f t="shared" si="2"/>
        <v>0</v>
      </c>
      <c r="U17" s="70">
        <f t="shared" si="2"/>
        <v>0</v>
      </c>
      <c r="V17" s="70"/>
      <c r="W17" s="70"/>
      <c r="X17" s="70"/>
      <c r="Y17" s="65"/>
      <c r="Z17" s="65"/>
      <c r="AA17" s="65"/>
      <c r="AB17" s="65"/>
      <c r="AC17" s="65"/>
      <c r="AD17" s="65"/>
    </row>
    <row r="18" spans="1:30" ht="15.75" x14ac:dyDescent="0.25">
      <c r="A18" s="70"/>
      <c r="B18" s="86" t="s">
        <v>70</v>
      </c>
      <c r="C18" s="87" t="s">
        <v>52</v>
      </c>
      <c r="D18" s="87" t="s">
        <v>53</v>
      </c>
      <c r="E18" s="88" t="s">
        <v>68</v>
      </c>
      <c r="F18" s="87" t="s">
        <v>54</v>
      </c>
      <c r="G18" s="87" t="s">
        <v>69</v>
      </c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>
        <f t="shared" si="2"/>
        <v>0</v>
      </c>
      <c r="U18" s="70">
        <f t="shared" si="2"/>
        <v>0</v>
      </c>
      <c r="V18" s="70"/>
      <c r="W18" s="70"/>
      <c r="X18" s="70"/>
      <c r="Y18" s="65"/>
      <c r="Z18" s="65"/>
      <c r="AA18" s="65"/>
      <c r="AB18" s="65"/>
      <c r="AC18" s="65"/>
      <c r="AD18" s="65"/>
    </row>
    <row r="19" spans="1:30" ht="15.75" x14ac:dyDescent="0.25">
      <c r="A19" s="70"/>
      <c r="B19" s="70" t="s">
        <v>94</v>
      </c>
      <c r="C19" s="78">
        <f>'Monthly Budget'!C12</f>
        <v>400</v>
      </c>
      <c r="D19" s="78">
        <f>'Monthly Budget'!B12</f>
        <v>400</v>
      </c>
      <c r="E19" s="89">
        <f t="shared" ref="E19:E26" si="3">IFERROR(C19/D19,"")</f>
        <v>1</v>
      </c>
      <c r="F19" s="80">
        <f t="shared" ref="F19:F26" si="4">MAX(D19-C19,0)</f>
        <v>0</v>
      </c>
      <c r="G19" s="90">
        <f t="shared" ref="G19:G26" si="5">MAX(C19-D19,0)</f>
        <v>0</v>
      </c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65"/>
      <c r="Z19" s="65"/>
      <c r="AA19" s="65"/>
      <c r="AB19" s="65"/>
      <c r="AC19" s="65"/>
      <c r="AD19" s="65"/>
    </row>
    <row r="20" spans="1:30" ht="15.75" x14ac:dyDescent="0.25">
      <c r="A20" s="70"/>
      <c r="B20" s="70" t="s">
        <v>97</v>
      </c>
      <c r="C20" s="78">
        <f>'Monthly Budget'!C13</f>
        <v>300</v>
      </c>
      <c r="D20" s="78">
        <f>'Monthly Budget'!B13</f>
        <v>300</v>
      </c>
      <c r="E20" s="89">
        <f t="shared" si="3"/>
        <v>1</v>
      </c>
      <c r="F20" s="80">
        <f t="shared" si="4"/>
        <v>0</v>
      </c>
      <c r="G20" s="90">
        <f t="shared" si="5"/>
        <v>0</v>
      </c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 t="s">
        <v>60</v>
      </c>
      <c r="U20" s="70" t="s">
        <v>53</v>
      </c>
      <c r="V20" s="70" t="s">
        <v>61</v>
      </c>
      <c r="W20" s="70" t="s">
        <v>70</v>
      </c>
      <c r="X20" s="70" t="s">
        <v>9</v>
      </c>
      <c r="Y20" s="65"/>
      <c r="Z20" s="65"/>
      <c r="AA20" s="65"/>
      <c r="AB20" s="65"/>
      <c r="AC20" s="65"/>
      <c r="AD20" s="65"/>
    </row>
    <row r="21" spans="1:30" ht="15.75" x14ac:dyDescent="0.25">
      <c r="A21" s="70"/>
      <c r="B21" s="70" t="s">
        <v>98</v>
      </c>
      <c r="C21" s="78">
        <f>'Monthly Budget'!C14</f>
        <v>100</v>
      </c>
      <c r="D21" s="78">
        <f>'Monthly Budget'!B14</f>
        <v>100</v>
      </c>
      <c r="E21" s="89">
        <f t="shared" si="3"/>
        <v>1</v>
      </c>
      <c r="F21" s="80">
        <f t="shared" si="4"/>
        <v>0</v>
      </c>
      <c r="G21" s="90">
        <f t="shared" si="5"/>
        <v>0</v>
      </c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 t="s">
        <v>75</v>
      </c>
      <c r="U21" s="91">
        <f>'Monthly Budget'!$B$9</f>
        <v>2800</v>
      </c>
      <c r="V21" s="91">
        <f>'Monthly Budget'!$B$9</f>
        <v>2800</v>
      </c>
      <c r="W21" s="91">
        <f>'Monthly Budget'!$B$20</f>
        <v>800</v>
      </c>
      <c r="X21" s="91">
        <f>'Monthly Budget'!$B$24</f>
        <v>2000</v>
      </c>
      <c r="Y21" s="65"/>
      <c r="Z21" s="65"/>
      <c r="AA21" s="65"/>
      <c r="AB21" s="65"/>
      <c r="AC21" s="65"/>
      <c r="AD21" s="65"/>
    </row>
    <row r="22" spans="1:30" ht="15.75" x14ac:dyDescent="0.25">
      <c r="A22" s="70"/>
      <c r="B22" s="70" t="s">
        <v>103</v>
      </c>
      <c r="C22" s="78">
        <f>'Monthly Budget'!C15</f>
        <v>0</v>
      </c>
      <c r="D22" s="78">
        <f>'Monthly Budget'!B15</f>
        <v>0</v>
      </c>
      <c r="E22" s="89" t="str">
        <f t="shared" si="3"/>
        <v/>
      </c>
      <c r="F22" s="80">
        <f t="shared" si="4"/>
        <v>0</v>
      </c>
      <c r="G22" s="90">
        <f t="shared" si="5"/>
        <v>0</v>
      </c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 t="s">
        <v>76</v>
      </c>
      <c r="U22" s="91">
        <f>'Monthly Budget'!$B$9</f>
        <v>2800</v>
      </c>
      <c r="V22" s="91">
        <f>'Monthly Budget'!$B$9</f>
        <v>2800</v>
      </c>
      <c r="W22" s="91">
        <f>'Monthly Budget'!$B$20</f>
        <v>800</v>
      </c>
      <c r="X22" s="91">
        <f>'Monthly Budget'!$B$24</f>
        <v>2000</v>
      </c>
      <c r="Y22" s="65"/>
      <c r="Z22" s="65"/>
      <c r="AA22" s="65"/>
      <c r="AB22" s="65"/>
      <c r="AC22" s="65"/>
      <c r="AD22" s="65"/>
    </row>
    <row r="23" spans="1:30" ht="15.75" x14ac:dyDescent="0.25">
      <c r="A23" s="70"/>
      <c r="B23" s="70" t="s">
        <v>4</v>
      </c>
      <c r="C23" s="78">
        <f>'Monthly Budget'!C16</f>
        <v>0</v>
      </c>
      <c r="D23" s="78">
        <f>'Monthly Budget'!B16</f>
        <v>0</v>
      </c>
      <c r="E23" s="89" t="str">
        <f t="shared" si="3"/>
        <v/>
      </c>
      <c r="F23" s="80">
        <f t="shared" si="4"/>
        <v>0</v>
      </c>
      <c r="G23" s="90">
        <f t="shared" si="5"/>
        <v>0</v>
      </c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 t="s">
        <v>77</v>
      </c>
      <c r="U23" s="91">
        <f>'Monthly Budget'!$B$9</f>
        <v>2800</v>
      </c>
      <c r="V23" s="91">
        <f>'Monthly Budget'!$B$9</f>
        <v>2800</v>
      </c>
      <c r="W23" s="91">
        <f>'Monthly Budget'!$B$20</f>
        <v>800</v>
      </c>
      <c r="X23" s="91">
        <f>'Monthly Budget'!$B$24</f>
        <v>2000</v>
      </c>
      <c r="Y23" s="65"/>
      <c r="Z23" s="65"/>
      <c r="AA23" s="65"/>
      <c r="AB23" s="65"/>
      <c r="AC23" s="65"/>
      <c r="AD23" s="65"/>
    </row>
    <row r="24" spans="1:30" ht="15.75" x14ac:dyDescent="0.25">
      <c r="A24" s="70"/>
      <c r="B24" s="70" t="s">
        <v>104</v>
      </c>
      <c r="C24" s="78">
        <f>'Monthly Budget'!C17</f>
        <v>0</v>
      </c>
      <c r="D24" s="78">
        <f>'Monthly Budget'!B17</f>
        <v>0</v>
      </c>
      <c r="E24" s="89" t="str">
        <f t="shared" si="3"/>
        <v/>
      </c>
      <c r="F24" s="80">
        <f t="shared" si="4"/>
        <v>0</v>
      </c>
      <c r="G24" s="90">
        <f t="shared" si="5"/>
        <v>0</v>
      </c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 t="s">
        <v>78</v>
      </c>
      <c r="U24" s="91">
        <f>'Monthly Budget'!$B$9</f>
        <v>2800</v>
      </c>
      <c r="V24" s="91">
        <f>'Monthly Budget'!$B$9</f>
        <v>2800</v>
      </c>
      <c r="W24" s="91">
        <f>'Monthly Budget'!$B$20</f>
        <v>800</v>
      </c>
      <c r="X24" s="91">
        <f>'Monthly Budget'!$B$24</f>
        <v>2000</v>
      </c>
      <c r="Y24" s="65"/>
      <c r="Z24" s="65"/>
      <c r="AA24" s="65"/>
      <c r="AB24" s="65"/>
      <c r="AC24" s="65"/>
      <c r="AD24" s="65"/>
    </row>
    <row r="25" spans="1:30" ht="15.75" x14ac:dyDescent="0.25">
      <c r="A25" s="70"/>
      <c r="B25" s="70" t="s">
        <v>105</v>
      </c>
      <c r="C25" s="78">
        <f>'Monthly Budget'!C18</f>
        <v>0</v>
      </c>
      <c r="D25" s="78">
        <f>'Monthly Budget'!B18</f>
        <v>0</v>
      </c>
      <c r="E25" s="89" t="str">
        <f t="shared" si="3"/>
        <v/>
      </c>
      <c r="F25" s="80">
        <f t="shared" si="4"/>
        <v>0</v>
      </c>
      <c r="G25" s="90">
        <f t="shared" si="5"/>
        <v>0</v>
      </c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 t="s">
        <v>79</v>
      </c>
      <c r="U25" s="91">
        <f>'Monthly Budget'!$B$9</f>
        <v>2800</v>
      </c>
      <c r="V25" s="91">
        <f>'Monthly Budget'!$B$9</f>
        <v>2800</v>
      </c>
      <c r="W25" s="91">
        <f>'Monthly Budget'!$B$20</f>
        <v>800</v>
      </c>
      <c r="X25" s="91">
        <f>'Monthly Budget'!$B$24</f>
        <v>2000</v>
      </c>
      <c r="Y25" s="65"/>
      <c r="Z25" s="65"/>
      <c r="AA25" s="65"/>
      <c r="AB25" s="65"/>
      <c r="AC25" s="65"/>
      <c r="AD25" s="65"/>
    </row>
    <row r="26" spans="1:30" ht="15.75" x14ac:dyDescent="0.25">
      <c r="A26" s="70"/>
      <c r="B26" s="70" t="s">
        <v>73</v>
      </c>
      <c r="C26" s="78">
        <f>'Monthly Budget'!C19</f>
        <v>0</v>
      </c>
      <c r="D26" s="78">
        <f>'Monthly Budget'!B19</f>
        <v>0</v>
      </c>
      <c r="E26" s="89" t="str">
        <f t="shared" si="3"/>
        <v/>
      </c>
      <c r="F26" s="80">
        <f t="shared" si="4"/>
        <v>0</v>
      </c>
      <c r="G26" s="90">
        <f t="shared" si="5"/>
        <v>0</v>
      </c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 t="s">
        <v>80</v>
      </c>
      <c r="U26" s="91">
        <f>'Monthly Budget'!$B$9</f>
        <v>2800</v>
      </c>
      <c r="V26" s="91">
        <f>'Monthly Budget'!C9</f>
        <v>2800</v>
      </c>
      <c r="W26" s="91">
        <f>'Monthly Budget'!C20</f>
        <v>800</v>
      </c>
      <c r="X26" s="91">
        <f>'Monthly Budget'!C24</f>
        <v>2000</v>
      </c>
      <c r="Y26" s="65"/>
      <c r="Z26" s="65"/>
      <c r="AA26" s="65"/>
      <c r="AB26" s="65"/>
      <c r="AC26" s="65"/>
      <c r="AD26" s="65"/>
    </row>
    <row r="27" spans="1:30" ht="15.75" x14ac:dyDescent="0.25">
      <c r="A27" s="70"/>
      <c r="B27" s="70"/>
      <c r="C27" s="80"/>
      <c r="D27" s="80"/>
      <c r="E27" s="89"/>
      <c r="F27" s="80"/>
      <c r="G27" s="9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 t="s">
        <v>81</v>
      </c>
      <c r="U27" s="91">
        <f>'Monthly Budget'!$B$9</f>
        <v>2800</v>
      </c>
      <c r="V27" s="91">
        <f>'Monthly Budget'!$B$9</f>
        <v>2800</v>
      </c>
      <c r="W27" s="91">
        <f>'Monthly Budget'!$B$20</f>
        <v>800</v>
      </c>
      <c r="X27" s="91">
        <f>'Monthly Budget'!$B$24</f>
        <v>2000</v>
      </c>
      <c r="Y27" s="65"/>
      <c r="Z27" s="65"/>
      <c r="AA27" s="65"/>
      <c r="AB27" s="65"/>
      <c r="AC27" s="65"/>
      <c r="AD27" s="65"/>
    </row>
    <row r="28" spans="1:30" ht="15.75" x14ac:dyDescent="0.25">
      <c r="A28" s="70"/>
      <c r="B28" s="82" t="s">
        <v>56</v>
      </c>
      <c r="C28" s="83">
        <f>SUM(C19:C27)</f>
        <v>800</v>
      </c>
      <c r="D28" s="83">
        <f>SUM(D19:D27)</f>
        <v>800</v>
      </c>
      <c r="E28" s="89">
        <f>C28/D28</f>
        <v>1</v>
      </c>
      <c r="F28" s="83">
        <f>SUM(F19:F27)</f>
        <v>0</v>
      </c>
      <c r="G28" s="92">
        <f>SUM(G19:G27)</f>
        <v>0</v>
      </c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 t="s">
        <v>82</v>
      </c>
      <c r="U28" s="91">
        <f>'Monthly Budget'!$B$9</f>
        <v>2800</v>
      </c>
      <c r="V28" s="91">
        <f>'Monthly Budget'!$B$9</f>
        <v>2800</v>
      </c>
      <c r="W28" s="91">
        <f>'Monthly Budget'!$B$20</f>
        <v>800</v>
      </c>
      <c r="X28" s="91">
        <f>'Monthly Budget'!$B$24</f>
        <v>2000</v>
      </c>
      <c r="Y28" s="65"/>
      <c r="Z28" s="65"/>
      <c r="AA28" s="65"/>
      <c r="AB28" s="65"/>
      <c r="AC28" s="65"/>
      <c r="AD28" s="65"/>
    </row>
    <row r="29" spans="1:30" ht="15.75" x14ac:dyDescent="0.25">
      <c r="A29" s="70"/>
      <c r="B29" s="70"/>
      <c r="C29" s="70"/>
      <c r="D29" s="70"/>
      <c r="E29" s="85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 t="s">
        <v>83</v>
      </c>
      <c r="U29" s="91">
        <f>'Monthly Budget'!$B$9</f>
        <v>2800</v>
      </c>
      <c r="V29" s="91">
        <f>'Monthly Budget'!$B$9</f>
        <v>2800</v>
      </c>
      <c r="W29" s="91">
        <f>'Monthly Budget'!$B$20</f>
        <v>800</v>
      </c>
      <c r="X29" s="91">
        <f>'Monthly Budget'!$B$24</f>
        <v>2000</v>
      </c>
      <c r="Y29" s="65"/>
      <c r="Z29" s="65"/>
      <c r="AA29" s="65"/>
      <c r="AB29" s="65"/>
      <c r="AC29" s="65"/>
      <c r="AD29" s="65"/>
    </row>
    <row r="30" spans="1:30" ht="15.75" x14ac:dyDescent="0.25">
      <c r="A30" s="70"/>
      <c r="B30" s="93" t="s">
        <v>9</v>
      </c>
      <c r="C30" s="94" t="s">
        <v>52</v>
      </c>
      <c r="D30" s="94" t="s">
        <v>53</v>
      </c>
      <c r="E30" s="95" t="s">
        <v>68</v>
      </c>
      <c r="F30" s="94" t="s">
        <v>54</v>
      </c>
      <c r="G30" s="94" t="s">
        <v>69</v>
      </c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 t="s">
        <v>84</v>
      </c>
      <c r="U30" s="91">
        <f>'Monthly Budget'!$B$9</f>
        <v>2800</v>
      </c>
      <c r="V30" s="91">
        <f>'Monthly Budget'!$B$9</f>
        <v>2800</v>
      </c>
      <c r="W30" s="91">
        <f>'Monthly Budget'!$B$20</f>
        <v>800</v>
      </c>
      <c r="X30" s="91">
        <f>'Monthly Budget'!$B$24</f>
        <v>2000</v>
      </c>
      <c r="Y30" s="65"/>
      <c r="Z30" s="65"/>
      <c r="AA30" s="65"/>
      <c r="AB30" s="65"/>
      <c r="AC30" s="65"/>
      <c r="AD30" s="65"/>
    </row>
    <row r="31" spans="1:30" ht="15.75" x14ac:dyDescent="0.25">
      <c r="A31" s="70"/>
      <c r="B31" s="70" t="s">
        <v>100</v>
      </c>
      <c r="C31" s="78">
        <f>'Monthly Budget'!C23</f>
        <v>2000</v>
      </c>
      <c r="D31" s="78">
        <f>'Monthly Budget'!B23</f>
        <v>2000</v>
      </c>
      <c r="E31" s="79">
        <f>IFERROR(C31/D31,"")</f>
        <v>1</v>
      </c>
      <c r="F31" s="80">
        <f>MAX(D31-C31,0)</f>
        <v>0</v>
      </c>
      <c r="G31" s="81">
        <f>MAX(C31-D31,0)</f>
        <v>0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 t="s">
        <v>85</v>
      </c>
      <c r="U31" s="91">
        <f>'Monthly Budget'!$B$9</f>
        <v>2800</v>
      </c>
      <c r="V31" s="91">
        <f>'Monthly Budget'!$B$9</f>
        <v>2800</v>
      </c>
      <c r="W31" s="91">
        <f>'Monthly Budget'!$B$20</f>
        <v>800</v>
      </c>
      <c r="X31" s="91">
        <f>'Monthly Budget'!$B$24</f>
        <v>2000</v>
      </c>
      <c r="Y31" s="65"/>
      <c r="Z31" s="65"/>
      <c r="AA31" s="65"/>
      <c r="AB31" s="65"/>
      <c r="AC31" s="65"/>
      <c r="AD31" s="65"/>
    </row>
    <row r="32" spans="1:30" ht="15.75" x14ac:dyDescent="0.25">
      <c r="A32" s="70"/>
      <c r="B32" s="70"/>
      <c r="C32" s="80"/>
      <c r="D32" s="80"/>
      <c r="E32" s="79"/>
      <c r="F32" s="80"/>
      <c r="G32" s="81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 t="s">
        <v>86</v>
      </c>
      <c r="U32" s="91">
        <f>'Monthly Budget'!$B$9</f>
        <v>2800</v>
      </c>
      <c r="V32" s="91">
        <f>'Monthly Budget'!$B$9</f>
        <v>2800</v>
      </c>
      <c r="W32" s="91">
        <f>'Monthly Budget'!$B$20</f>
        <v>800</v>
      </c>
      <c r="X32" s="91">
        <f>'Monthly Budget'!$B$24</f>
        <v>2000</v>
      </c>
      <c r="Y32" s="65"/>
      <c r="Z32" s="65"/>
      <c r="AA32" s="65"/>
      <c r="AB32" s="65"/>
      <c r="AC32" s="65"/>
      <c r="AD32" s="65"/>
    </row>
    <row r="33" spans="1:30" ht="15.75" x14ac:dyDescent="0.25">
      <c r="A33" s="70"/>
      <c r="B33" s="70"/>
      <c r="C33" s="80"/>
      <c r="D33" s="80"/>
      <c r="E33" s="79"/>
      <c r="F33" s="80"/>
      <c r="G33" s="81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65"/>
      <c r="Z33" s="65"/>
      <c r="AA33" s="65"/>
      <c r="AB33" s="65"/>
      <c r="AC33" s="65"/>
      <c r="AD33" s="65"/>
    </row>
    <row r="34" spans="1:30" ht="15.75" x14ac:dyDescent="0.25">
      <c r="A34" s="70"/>
      <c r="B34" s="70"/>
      <c r="C34" s="80"/>
      <c r="D34" s="80"/>
      <c r="E34" s="79"/>
      <c r="F34" s="80"/>
      <c r="G34" s="81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65"/>
      <c r="Z34" s="65"/>
      <c r="AA34" s="65"/>
      <c r="AB34" s="65"/>
      <c r="AC34" s="65"/>
      <c r="AD34" s="65"/>
    </row>
    <row r="35" spans="1:30" ht="15.75" x14ac:dyDescent="0.25">
      <c r="A35" s="70"/>
      <c r="B35" s="70"/>
      <c r="C35" s="80"/>
      <c r="D35" s="80"/>
      <c r="E35" s="79"/>
      <c r="F35" s="80"/>
      <c r="G35" s="81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65"/>
      <c r="Z35" s="65"/>
      <c r="AA35" s="65"/>
      <c r="AB35" s="65"/>
      <c r="AC35" s="65"/>
      <c r="AD35" s="65"/>
    </row>
    <row r="36" spans="1:30" ht="15.75" x14ac:dyDescent="0.25">
      <c r="A36" s="70"/>
      <c r="B36" s="82" t="s">
        <v>56</v>
      </c>
      <c r="C36" s="83">
        <f>SUM(C31:C35)</f>
        <v>2000</v>
      </c>
      <c r="D36" s="83">
        <f>SUM(D31:D35)</f>
        <v>2000</v>
      </c>
      <c r="E36" s="79">
        <f>C36/D36</f>
        <v>1</v>
      </c>
      <c r="F36" s="83">
        <f>SUM(F31:F35)</f>
        <v>0</v>
      </c>
      <c r="G36" s="84">
        <f>SUM(G31:G35)</f>
        <v>0</v>
      </c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65"/>
      <c r="Z36" s="65"/>
      <c r="AA36" s="65"/>
      <c r="AB36" s="65"/>
      <c r="AC36" s="65"/>
      <c r="AD36" s="65"/>
    </row>
    <row r="37" spans="1:30" x14ac:dyDescent="0.2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</row>
    <row r="38" spans="1:30" x14ac:dyDescent="0.2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</row>
    <row r="39" spans="1:30" x14ac:dyDescent="0.2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</row>
    <row r="40" spans="1:30" x14ac:dyDescent="0.2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</row>
    <row r="41" spans="1:30" x14ac:dyDescent="0.2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 spans="1:30" x14ac:dyDescent="0.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</row>
    <row r="43" spans="1:30" x14ac:dyDescent="0.2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 spans="1:30" x14ac:dyDescent="0.2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</row>
    <row r="45" spans="1:30" x14ac:dyDescent="0.2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</row>
    <row r="46" spans="1:30" x14ac:dyDescent="0.2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  <row r="47" spans="1:30" x14ac:dyDescent="0.2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</row>
    <row r="48" spans="1:30" x14ac:dyDescent="0.2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</row>
    <row r="49" spans="1:30" x14ac:dyDescent="0.2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</row>
    <row r="50" spans="1:30" x14ac:dyDescent="0.2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</row>
    <row r="51" spans="1:30" x14ac:dyDescent="0.2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</row>
    <row r="52" spans="1:30" x14ac:dyDescent="0.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</row>
    <row r="53" spans="1:30" x14ac:dyDescent="0.2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</row>
    <row r="54" spans="1:30" x14ac:dyDescent="0.2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</row>
    <row r="55" spans="1:30" x14ac:dyDescent="0.2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</row>
    <row r="56" spans="1:30" x14ac:dyDescent="0.2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</row>
    <row r="57" spans="1:30" x14ac:dyDescent="0.2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</row>
    <row r="58" spans="1:30" x14ac:dyDescent="0.2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</row>
    <row r="59" spans="1:30" x14ac:dyDescent="0.2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</row>
    <row r="60" spans="1:30" x14ac:dyDescent="0.2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</row>
    <row r="61" spans="1:30" x14ac:dyDescent="0.2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</row>
    <row r="62" spans="1:30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</row>
    <row r="63" spans="1:30" x14ac:dyDescent="0.2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</row>
    <row r="64" spans="1:30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</row>
    <row r="65" spans="1:30" x14ac:dyDescent="0.2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</row>
    <row r="66" spans="1:30" x14ac:dyDescent="0.2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</row>
    <row r="67" spans="1:30" x14ac:dyDescent="0.2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</row>
    <row r="68" spans="1:30" x14ac:dyDescent="0.2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</row>
    <row r="69" spans="1:30" x14ac:dyDescent="0.2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</row>
    <row r="70" spans="1:30" x14ac:dyDescent="0.2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</row>
    <row r="71" spans="1:30" x14ac:dyDescent="0.2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</row>
    <row r="72" spans="1:30" x14ac:dyDescent="0.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</row>
    <row r="73" spans="1:30" x14ac:dyDescent="0.2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</row>
    <row r="74" spans="1:30" x14ac:dyDescent="0.2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</row>
    <row r="75" spans="1:30" x14ac:dyDescent="0.2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</row>
    <row r="76" spans="1:30" x14ac:dyDescent="0.2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</row>
    <row r="77" spans="1:30" x14ac:dyDescent="0.2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</row>
    <row r="78" spans="1:30" x14ac:dyDescent="0.2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</row>
    <row r="79" spans="1:30" x14ac:dyDescent="0.2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</row>
    <row r="80" spans="1:30" x14ac:dyDescent="0.2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</row>
  </sheetData>
  <mergeCells count="9">
    <mergeCell ref="I5:L5"/>
    <mergeCell ref="I6:L7"/>
    <mergeCell ref="B5:C5"/>
    <mergeCell ref="B6:C7"/>
    <mergeCell ref="D5:E5"/>
    <mergeCell ref="D6:E7"/>
    <mergeCell ref="F5:H5"/>
    <mergeCell ref="F6:H6"/>
    <mergeCell ref="F7:H7"/>
  </mergeCells>
  <conditionalFormatting sqref="E19:E28">
    <cfRule type="expression" dxfId="3" priority="1">
      <formula>E19&gt;1</formula>
    </cfRule>
    <cfRule type="expression" dxfId="2" priority="2">
      <formula>AND(E19&gt;0,E19&lt;=1)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05BB9D-D5FF-4A6D-B9A8-F34460B9A1F8}">
          <x14:formula1>
            <xm:f>'Monthly Budget'!$F$6:$F$17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09F2-AADC-4A08-8818-24008F64C778}">
  <sheetPr>
    <tabColor rgb="FF2A9D8F"/>
  </sheetPr>
  <dimension ref="A1:Z60"/>
  <sheetViews>
    <sheetView showGridLines="0" workbookViewId="0">
      <selection activeCell="D3" sqref="D3"/>
    </sheetView>
  </sheetViews>
  <sheetFormatPr defaultRowHeight="15.75" x14ac:dyDescent="0.25"/>
  <cols>
    <col min="1" max="1" width="25" customWidth="1"/>
    <col min="2" max="3" width="15" customWidth="1"/>
    <col min="4" max="4" width="15.875" customWidth="1"/>
    <col min="5" max="5" width="3" customWidth="1"/>
    <col min="6" max="6" width="13.625" customWidth="1"/>
    <col min="7" max="11" width="12" customWidth="1"/>
  </cols>
  <sheetData>
    <row r="1" spans="1:26" ht="23.25" x14ac:dyDescent="0.35">
      <c r="A1" s="2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5">
      <c r="A2" s="29" t="s">
        <v>109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22" t="s">
        <v>60</v>
      </c>
      <c r="B4" s="98">
        <f>'Budget Dashboard'!B6</f>
        <v>46174</v>
      </c>
      <c r="C4" s="19"/>
      <c r="D4" s="19"/>
      <c r="E4" s="19"/>
      <c r="F4" s="60" t="s">
        <v>168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9"/>
      <c r="B5" s="19"/>
      <c r="C5" s="19"/>
      <c r="D5" s="19"/>
      <c r="E5" s="19"/>
      <c r="F5" s="21" t="s">
        <v>60</v>
      </c>
      <c r="G5" s="25" t="s">
        <v>61</v>
      </c>
      <c r="H5" s="25" t="s">
        <v>70</v>
      </c>
      <c r="I5" s="25" t="s">
        <v>9</v>
      </c>
      <c r="J5" s="25" t="s">
        <v>169</v>
      </c>
      <c r="K5" s="25" t="s">
        <v>170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30" t="s">
        <v>1</v>
      </c>
      <c r="B6" s="31" t="s">
        <v>53</v>
      </c>
      <c r="C6" s="31" t="s">
        <v>110</v>
      </c>
      <c r="D6" s="31" t="s">
        <v>111</v>
      </c>
      <c r="E6" s="19"/>
      <c r="F6" s="61">
        <f>DATE(YEAR($B$4),1,1)</f>
        <v>46023</v>
      </c>
      <c r="G6" s="62">
        <f>SUMIFS(Transactions[Amount],Transactions[Type],"Income",Transactions[Date],"&gt;="&amp;F6,Transactions[Date],"&lt;="&amp;EOMONTH(F6,0))</f>
        <v>0</v>
      </c>
      <c r="H6" s="62">
        <f>SUMIFS(Transactions[Amount],Transactions[Type],"Expense",Transactions[Date],"&gt;="&amp;F6,Transactions[Date],"&lt;="&amp;EOMONTH(F6,0))</f>
        <v>0</v>
      </c>
      <c r="I6" s="62">
        <f>SUMIFS(Transactions[Amount],Transactions[Type],"Savings",Transactions[Date],"&gt;="&amp;F6,Transactions[Date],"&lt;="&amp;EOMONTH(F6,0))</f>
        <v>0</v>
      </c>
      <c r="J6" s="62">
        <f>G6-H6-I6</f>
        <v>0</v>
      </c>
      <c r="K6" s="63">
        <f>IFERROR(I6/G6,0)</f>
        <v>0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 t="s">
        <v>2</v>
      </c>
      <c r="B7" s="32">
        <v>2800</v>
      </c>
      <c r="C7" s="33">
        <f>SUMIFS(Transactions[Amount],Transactions[Category],A7,Transactions[Date],"&gt;="&amp;$B$4,Transactions[Date],"&lt;="&amp;EOMONTH($B$4,0))</f>
        <v>2800</v>
      </c>
      <c r="D7" s="33">
        <f>C7-B7</f>
        <v>0</v>
      </c>
      <c r="E7" s="19"/>
      <c r="F7" s="64">
        <f t="shared" ref="F7:F17" si="0">EDATE(F6,1)</f>
        <v>46054</v>
      </c>
      <c r="G7" s="62">
        <f>SUMIFS(Transactions[Amount],Transactions[Type],"Income",Transactions[Date],"&gt;="&amp;F7,Transactions[Date],"&lt;="&amp;EOMONTH(F7,0))</f>
        <v>0</v>
      </c>
      <c r="H7" s="62">
        <f>SUMIFS(Transactions[Amount],Transactions[Type],"Expense",Transactions[Date],"&gt;="&amp;F7,Transactions[Date],"&lt;="&amp;EOMONTH(F7,0))</f>
        <v>0</v>
      </c>
      <c r="I7" s="62">
        <f>SUMIFS(Transactions[Amount],Transactions[Type],"Savings",Transactions[Date],"&gt;="&amp;F7,Transactions[Date],"&lt;="&amp;EOMONTH(F7,0))</f>
        <v>0</v>
      </c>
      <c r="J7" s="62">
        <f t="shared" ref="J7:J17" si="1">G7-H7-I7</f>
        <v>0</v>
      </c>
      <c r="K7" s="63">
        <f t="shared" ref="K7:K17" si="2">IFERROR(I7/G7,0)</f>
        <v>0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9" t="s">
        <v>112</v>
      </c>
      <c r="B8" s="32">
        <v>0</v>
      </c>
      <c r="C8" s="33">
        <f>SUMIFS(Transactions[Amount],Transactions[Category],A8,Transactions[Date],"&gt;="&amp;$B$4,Transactions[Date],"&lt;="&amp;EOMONTH($B$4,0))</f>
        <v>0</v>
      </c>
      <c r="D8" s="33">
        <f>C8-B8</f>
        <v>0</v>
      </c>
      <c r="E8" s="19"/>
      <c r="F8" s="61">
        <f t="shared" si="0"/>
        <v>46082</v>
      </c>
      <c r="G8" s="62">
        <f>SUMIFS(Transactions[Amount],Transactions[Type],"Income",Transactions[Date],"&gt;="&amp;F8,Transactions[Date],"&lt;="&amp;EOMONTH(F8,0))</f>
        <v>0</v>
      </c>
      <c r="H8" s="62">
        <f>SUMIFS(Transactions[Amount],Transactions[Type],"Expense",Transactions[Date],"&gt;="&amp;F8,Transactions[Date],"&lt;="&amp;EOMONTH(F8,0))</f>
        <v>0</v>
      </c>
      <c r="I8" s="62">
        <f>SUMIFS(Transactions[Amount],Transactions[Type],"Savings",Transactions[Date],"&gt;="&amp;F8,Transactions[Date],"&lt;="&amp;EOMONTH(F8,0))</f>
        <v>0</v>
      </c>
      <c r="J8" s="62">
        <f t="shared" si="1"/>
        <v>0</v>
      </c>
      <c r="K8" s="63">
        <f t="shared" si="2"/>
        <v>0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22" t="s">
        <v>3</v>
      </c>
      <c r="B9" s="34">
        <f>SUM(B7:B8)</f>
        <v>2800</v>
      </c>
      <c r="C9" s="34">
        <f>SUM(C7:C8)</f>
        <v>2800</v>
      </c>
      <c r="D9" s="34">
        <f>C9-B9</f>
        <v>0</v>
      </c>
      <c r="E9" s="19"/>
      <c r="F9" s="61">
        <f t="shared" si="0"/>
        <v>46113</v>
      </c>
      <c r="G9" s="62">
        <f>SUMIFS(Transactions[Amount],Transactions[Type],"Income",Transactions[Date],"&gt;="&amp;F9,Transactions[Date],"&lt;="&amp;EOMONTH(F9,0))</f>
        <v>0</v>
      </c>
      <c r="H9" s="62">
        <f>SUMIFS(Transactions[Amount],Transactions[Type],"Expense",Transactions[Date],"&gt;="&amp;F9,Transactions[Date],"&lt;="&amp;EOMONTH(F9,0))</f>
        <v>0</v>
      </c>
      <c r="I9" s="62">
        <f>SUMIFS(Transactions[Amount],Transactions[Type],"Savings",Transactions[Date],"&gt;="&amp;F9,Transactions[Date],"&lt;="&amp;EOMONTH(F9,0))</f>
        <v>0</v>
      </c>
      <c r="J9" s="62">
        <f t="shared" si="1"/>
        <v>0</v>
      </c>
      <c r="K9" s="63">
        <f t="shared" si="2"/>
        <v>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/>
      <c r="B10" s="19"/>
      <c r="C10" s="19"/>
      <c r="D10" s="19"/>
      <c r="E10" s="19"/>
      <c r="F10" s="61">
        <f t="shared" si="0"/>
        <v>46143</v>
      </c>
      <c r="G10" s="62">
        <f>SUMIFS(Transactions[Amount],Transactions[Type],"Income",Transactions[Date],"&gt;="&amp;F10,Transactions[Date],"&lt;="&amp;EOMONTH(F10,0))</f>
        <v>0</v>
      </c>
      <c r="H10" s="62">
        <f>SUMIFS(Transactions[Amount],Transactions[Type],"Expense",Transactions[Date],"&gt;="&amp;F10,Transactions[Date],"&lt;="&amp;EOMONTH(F10,0))</f>
        <v>0</v>
      </c>
      <c r="I10" s="62">
        <f>SUMIFS(Transactions[Amount],Transactions[Type],"Savings",Transactions[Date],"&gt;="&amp;F10,Transactions[Date],"&lt;="&amp;EOMONTH(F10,0))</f>
        <v>0</v>
      </c>
      <c r="J10" s="62">
        <f t="shared" si="1"/>
        <v>0</v>
      </c>
      <c r="K10" s="63">
        <f t="shared" si="2"/>
        <v>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35" t="s">
        <v>57</v>
      </c>
      <c r="B11" s="36" t="s">
        <v>53</v>
      </c>
      <c r="C11" s="36" t="s">
        <v>110</v>
      </c>
      <c r="D11" s="36" t="s">
        <v>54</v>
      </c>
      <c r="E11" s="19"/>
      <c r="F11" s="61">
        <f t="shared" si="0"/>
        <v>46174</v>
      </c>
      <c r="G11" s="62">
        <f>SUMIFS(Transactions[Amount],Transactions[Type],"Income",Transactions[Date],"&gt;="&amp;F11,Transactions[Date],"&lt;="&amp;EOMONTH(F11,0))</f>
        <v>2800</v>
      </c>
      <c r="H11" s="62">
        <f>SUMIFS(Transactions[Amount],Transactions[Type],"Expense",Transactions[Date],"&gt;="&amp;F11,Transactions[Date],"&lt;="&amp;EOMONTH(F11,0))</f>
        <v>800</v>
      </c>
      <c r="I11" s="62">
        <f>SUMIFS(Transactions[Amount],Transactions[Type],"Savings",Transactions[Date],"&gt;="&amp;F11,Transactions[Date],"&lt;="&amp;EOMONTH(F11,0))</f>
        <v>2000</v>
      </c>
      <c r="J11" s="62">
        <f t="shared" si="1"/>
        <v>0</v>
      </c>
      <c r="K11" s="63">
        <f t="shared" si="2"/>
        <v>0.7142857142857143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 t="s">
        <v>94</v>
      </c>
      <c r="B12" s="32">
        <v>400</v>
      </c>
      <c r="C12" s="33">
        <f>SUMIFS(Transactions[Amount],Transactions[Category],A12,Transactions[Date],"&gt;="&amp;$B$4,Transactions[Date],"&lt;="&amp;EOMONTH($B$4,0))</f>
        <v>400</v>
      </c>
      <c r="D12" s="33">
        <f>B12-C12</f>
        <v>0</v>
      </c>
      <c r="E12" s="19"/>
      <c r="F12" s="61">
        <f t="shared" si="0"/>
        <v>46204</v>
      </c>
      <c r="G12" s="62">
        <f>SUMIFS(Transactions[Amount],Transactions[Type],"Income",Transactions[Date],"&gt;="&amp;F12,Transactions[Date],"&lt;="&amp;EOMONTH(F12,0))</f>
        <v>0</v>
      </c>
      <c r="H12" s="62">
        <f>SUMIFS(Transactions[Amount],Transactions[Type],"Expense",Transactions[Date],"&gt;="&amp;F12,Transactions[Date],"&lt;="&amp;EOMONTH(F12,0))</f>
        <v>0</v>
      </c>
      <c r="I12" s="62">
        <f>SUMIFS(Transactions[Amount],Transactions[Type],"Savings",Transactions[Date],"&gt;="&amp;F12,Transactions[Date],"&lt;="&amp;EOMONTH(F12,0))</f>
        <v>0</v>
      </c>
      <c r="J12" s="62">
        <f t="shared" si="1"/>
        <v>0</v>
      </c>
      <c r="K12" s="63">
        <f t="shared" si="2"/>
        <v>0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9" t="s">
        <v>97</v>
      </c>
      <c r="B13" s="32">
        <v>300</v>
      </c>
      <c r="C13" s="33">
        <f>SUMIFS(Transactions[Amount],Transactions[Category],A13,Transactions[Date],"&gt;="&amp;$B$4,Transactions[Date],"&lt;="&amp;EOMONTH($B$4,0))</f>
        <v>300</v>
      </c>
      <c r="D13" s="33">
        <f t="shared" ref="D13:D19" si="3">B13-C13</f>
        <v>0</v>
      </c>
      <c r="E13" s="19"/>
      <c r="F13" s="61">
        <f t="shared" si="0"/>
        <v>46235</v>
      </c>
      <c r="G13" s="62">
        <f>SUMIFS(Transactions[Amount],Transactions[Type],"Income",Transactions[Date],"&gt;="&amp;F13,Transactions[Date],"&lt;="&amp;EOMONTH(F13,0))</f>
        <v>0</v>
      </c>
      <c r="H13" s="62">
        <f>SUMIFS(Transactions[Amount],Transactions[Type],"Expense",Transactions[Date],"&gt;="&amp;F13,Transactions[Date],"&lt;="&amp;EOMONTH(F13,0))</f>
        <v>0</v>
      </c>
      <c r="I13" s="62">
        <f>SUMIFS(Transactions[Amount],Transactions[Type],"Savings",Transactions[Date],"&gt;="&amp;F13,Transactions[Date],"&lt;="&amp;EOMONTH(F13,0))</f>
        <v>0</v>
      </c>
      <c r="J13" s="62">
        <f t="shared" si="1"/>
        <v>0</v>
      </c>
      <c r="K13" s="63">
        <f t="shared" si="2"/>
        <v>0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 t="s">
        <v>98</v>
      </c>
      <c r="B14" s="32">
        <v>100</v>
      </c>
      <c r="C14" s="33">
        <f>SUMIFS(Transactions[Amount],Transactions[Category],A14,Transactions[Date],"&gt;="&amp;$B$4,Transactions[Date],"&lt;="&amp;EOMONTH($B$4,0))</f>
        <v>100</v>
      </c>
      <c r="D14" s="33">
        <f t="shared" si="3"/>
        <v>0</v>
      </c>
      <c r="E14" s="19"/>
      <c r="F14" s="61">
        <f t="shared" si="0"/>
        <v>46266</v>
      </c>
      <c r="G14" s="62">
        <f>SUMIFS(Transactions[Amount],Transactions[Type],"Income",Transactions[Date],"&gt;="&amp;F14,Transactions[Date],"&lt;="&amp;EOMONTH(F14,0))</f>
        <v>0</v>
      </c>
      <c r="H14" s="62">
        <f>SUMIFS(Transactions[Amount],Transactions[Type],"Expense",Transactions[Date],"&gt;="&amp;F14,Transactions[Date],"&lt;="&amp;EOMONTH(F14,0))</f>
        <v>0</v>
      </c>
      <c r="I14" s="62">
        <f>SUMIFS(Transactions[Amount],Transactions[Type],"Savings",Transactions[Date],"&gt;="&amp;F14,Transactions[Date],"&lt;="&amp;EOMONTH(F14,0))</f>
        <v>0</v>
      </c>
      <c r="J14" s="62">
        <f t="shared" si="1"/>
        <v>0</v>
      </c>
      <c r="K14" s="63">
        <f t="shared" si="2"/>
        <v>0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9" t="s">
        <v>103</v>
      </c>
      <c r="B15" s="32">
        <v>0</v>
      </c>
      <c r="C15" s="33">
        <f>SUMIFS(Transactions[Amount],Transactions[Category],A15,Transactions[Date],"&gt;="&amp;$B$4,Transactions[Date],"&lt;="&amp;EOMONTH($B$4,0))</f>
        <v>0</v>
      </c>
      <c r="D15" s="33">
        <f t="shared" si="3"/>
        <v>0</v>
      </c>
      <c r="E15" s="19"/>
      <c r="F15" s="61">
        <f t="shared" si="0"/>
        <v>46296</v>
      </c>
      <c r="G15" s="62">
        <f>SUMIFS(Transactions[Amount],Transactions[Type],"Income",Transactions[Date],"&gt;="&amp;F15,Transactions[Date],"&lt;="&amp;EOMONTH(F15,0))</f>
        <v>0</v>
      </c>
      <c r="H15" s="62">
        <f>SUMIFS(Transactions[Amount],Transactions[Type],"Expense",Transactions[Date],"&gt;="&amp;F15,Transactions[Date],"&lt;="&amp;EOMONTH(F15,0))</f>
        <v>0</v>
      </c>
      <c r="I15" s="62">
        <f>SUMIFS(Transactions[Amount],Transactions[Type],"Savings",Transactions[Date],"&gt;="&amp;F15,Transactions[Date],"&lt;="&amp;EOMONTH(F15,0))</f>
        <v>0</v>
      </c>
      <c r="J15" s="62">
        <f t="shared" si="1"/>
        <v>0</v>
      </c>
      <c r="K15" s="63">
        <f t="shared" si="2"/>
        <v>0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9" t="s">
        <v>4</v>
      </c>
      <c r="B16" s="32">
        <v>0</v>
      </c>
      <c r="C16" s="33">
        <f>SUMIFS(Transactions[Amount],Transactions[Category],A16,Transactions[Date],"&gt;="&amp;$B$4,Transactions[Date],"&lt;="&amp;EOMONTH($B$4,0))</f>
        <v>0</v>
      </c>
      <c r="D16" s="33">
        <f t="shared" si="3"/>
        <v>0</v>
      </c>
      <c r="E16" s="19"/>
      <c r="F16" s="61">
        <f t="shared" si="0"/>
        <v>46327</v>
      </c>
      <c r="G16" s="62">
        <f>SUMIFS(Transactions[Amount],Transactions[Type],"Income",Transactions[Date],"&gt;="&amp;F16,Transactions[Date],"&lt;="&amp;EOMONTH(F16,0))</f>
        <v>0</v>
      </c>
      <c r="H16" s="62">
        <f>SUMIFS(Transactions[Amount],Transactions[Type],"Expense",Transactions[Date],"&gt;="&amp;F16,Transactions[Date],"&lt;="&amp;EOMONTH(F16,0))</f>
        <v>0</v>
      </c>
      <c r="I16" s="62">
        <f>SUMIFS(Transactions[Amount],Transactions[Type],"Savings",Transactions[Date],"&gt;="&amp;F16,Transactions[Date],"&lt;="&amp;EOMONTH(F16,0))</f>
        <v>0</v>
      </c>
      <c r="J16" s="62">
        <f t="shared" si="1"/>
        <v>0</v>
      </c>
      <c r="K16" s="63">
        <f t="shared" si="2"/>
        <v>0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 t="s">
        <v>104</v>
      </c>
      <c r="B17" s="32">
        <v>0</v>
      </c>
      <c r="C17" s="33">
        <f>SUMIFS(Transactions[Amount],Transactions[Category],A17,Transactions[Date],"&gt;="&amp;$B$4,Transactions[Date],"&lt;="&amp;EOMONTH($B$4,0))</f>
        <v>0</v>
      </c>
      <c r="D17" s="33">
        <f t="shared" si="3"/>
        <v>0</v>
      </c>
      <c r="E17" s="19"/>
      <c r="F17" s="61">
        <f t="shared" si="0"/>
        <v>46357</v>
      </c>
      <c r="G17" s="62">
        <f>SUMIFS(Transactions[Amount],Transactions[Type],"Income",Transactions[Date],"&gt;="&amp;F17,Transactions[Date],"&lt;="&amp;EOMONTH(F17,0))</f>
        <v>0</v>
      </c>
      <c r="H17" s="62">
        <f>SUMIFS(Transactions[Amount],Transactions[Type],"Expense",Transactions[Date],"&gt;="&amp;F17,Transactions[Date],"&lt;="&amp;EOMONTH(F17,0))</f>
        <v>0</v>
      </c>
      <c r="I17" s="62">
        <f>SUMIFS(Transactions[Amount],Transactions[Type],"Savings",Transactions[Date],"&gt;="&amp;F17,Transactions[Date],"&lt;="&amp;EOMONTH(F17,0))</f>
        <v>0</v>
      </c>
      <c r="J17" s="62">
        <f t="shared" si="1"/>
        <v>0</v>
      </c>
      <c r="K17" s="63">
        <f t="shared" si="2"/>
        <v>0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 t="s">
        <v>105</v>
      </c>
      <c r="B18" s="32">
        <v>0</v>
      </c>
      <c r="C18" s="33">
        <f>SUMIFS(Transactions[Amount],Transactions[Category],A18,Transactions[Date],"&gt;="&amp;$B$4,Transactions[Date],"&lt;="&amp;EOMONTH($B$4,0))</f>
        <v>0</v>
      </c>
      <c r="D18" s="33">
        <f t="shared" si="3"/>
        <v>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19" t="s">
        <v>73</v>
      </c>
      <c r="B19" s="32">
        <v>0</v>
      </c>
      <c r="C19" s="33">
        <f>SUMIFS(Transactions[Amount],Transactions[Category],A19,Transactions[Date],"&gt;="&amp;$B$4,Transactions[Date],"&lt;="&amp;EOMONTH($B$4,0))</f>
        <v>0</v>
      </c>
      <c r="D19" s="33">
        <f t="shared" si="3"/>
        <v>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22" t="s">
        <v>5</v>
      </c>
      <c r="B20" s="34">
        <f>SUM(B12:B19)</f>
        <v>800</v>
      </c>
      <c r="C20" s="34">
        <f>SUM(C12:C19)</f>
        <v>800</v>
      </c>
      <c r="D20" s="34">
        <f>B20-C20</f>
        <v>0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5">
      <c r="A22" s="37" t="s">
        <v>58</v>
      </c>
      <c r="B22" s="38" t="s">
        <v>53</v>
      </c>
      <c r="C22" s="38" t="s">
        <v>110</v>
      </c>
      <c r="D22" s="38" t="s">
        <v>111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5">
      <c r="A23" s="19" t="s">
        <v>100</v>
      </c>
      <c r="B23" s="32">
        <v>2000</v>
      </c>
      <c r="C23" s="33">
        <f>SUMIFS(Transactions[Amount],Transactions[Category],A23,Transactions[Date],"&gt;="&amp;$B$4,Transactions[Date],"&lt;="&amp;EOMONTH($B$4,0))</f>
        <v>2000</v>
      </c>
      <c r="D23" s="33">
        <f>C23-B23</f>
        <v>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5">
      <c r="A24" s="22" t="s">
        <v>113</v>
      </c>
      <c r="B24" s="34">
        <f>SUM(B23:B23)</f>
        <v>2000</v>
      </c>
      <c r="C24" s="34">
        <f>SUM(C23:C23)</f>
        <v>2000</v>
      </c>
      <c r="D24" s="34">
        <f>C24-B24</f>
        <v>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5">
      <c r="A26" s="21" t="s">
        <v>114</v>
      </c>
      <c r="B26" s="20"/>
      <c r="C26" s="20"/>
      <c r="D26" s="20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5">
      <c r="A27" s="19" t="s">
        <v>115</v>
      </c>
      <c r="B27" s="19"/>
      <c r="C27" s="34">
        <f>C9-C20-C24</f>
        <v>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5">
      <c r="A28" s="19" t="s">
        <v>6</v>
      </c>
      <c r="B28" s="19"/>
      <c r="C28" s="39">
        <f>IFERROR(C24/C9,0)</f>
        <v>0.7142857142857143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5">
      <c r="A29" s="19" t="s">
        <v>116</v>
      </c>
      <c r="B29" s="19"/>
      <c r="C29" s="32">
        <v>2000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5">
      <c r="A30" s="19" t="s">
        <v>117</v>
      </c>
      <c r="B30" s="19"/>
      <c r="C30" s="22" t="str">
        <f>IF(C24&gt;=C29,"✅ On Track","⚠ Behind by "&amp;TEXT(C29-C24,"""GH₵""#,##0"))</f>
        <v>✅ On Track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</sheetData>
  <conditionalFormatting sqref="F6:K17">
    <cfRule type="expression" dxfId="1" priority="1">
      <formula>$F6=EOMONTH(TODAY(),-1)+1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DAFA-BB9B-4FB8-8361-A94A2C60C3D0}">
  <sheetPr>
    <tabColor rgb="FF2A9D8F"/>
  </sheetPr>
  <dimension ref="A1:Z40"/>
  <sheetViews>
    <sheetView showGridLines="0" workbookViewId="0">
      <selection activeCell="E9" sqref="E9"/>
    </sheetView>
  </sheetViews>
  <sheetFormatPr defaultRowHeight="15.75" x14ac:dyDescent="0.25"/>
  <cols>
    <col min="1" max="1" width="15" customWidth="1"/>
    <col min="2" max="10" width="13" customWidth="1"/>
  </cols>
  <sheetData>
    <row r="1" spans="1:26" ht="23.25" x14ac:dyDescent="0.35">
      <c r="A1" s="28" t="s">
        <v>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5">
      <c r="A2" s="29" t="s">
        <v>118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22" t="s">
        <v>175</v>
      </c>
      <c r="B4" s="19"/>
      <c r="C4" s="40">
        <f>'Monthly Budget'!B9-'Monthly Budget'!B20</f>
        <v>2000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22" t="s">
        <v>119</v>
      </c>
      <c r="B5" s="19"/>
      <c r="C5" s="41">
        <v>8000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7.25" x14ac:dyDescent="0.3">
      <c r="A6" s="22" t="s">
        <v>120</v>
      </c>
      <c r="B6" s="19"/>
      <c r="C6" s="41">
        <v>240</v>
      </c>
      <c r="D6" s="19"/>
      <c r="E6" s="19"/>
      <c r="F6" s="19"/>
      <c r="G6" s="19"/>
      <c r="H6" s="19"/>
      <c r="I6" s="19"/>
      <c r="J6" s="19"/>
      <c r="K6" s="19"/>
      <c r="L6" s="142" t="s">
        <v>176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9" t="s">
        <v>177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21" t="s">
        <v>60</v>
      </c>
      <c r="B8" s="25" t="s">
        <v>121</v>
      </c>
      <c r="C8" s="25" t="s">
        <v>8</v>
      </c>
      <c r="D8" s="25" t="s">
        <v>10</v>
      </c>
      <c r="E8" s="25" t="s">
        <v>122</v>
      </c>
      <c r="F8" s="31" t="s">
        <v>11</v>
      </c>
      <c r="G8" s="25" t="s">
        <v>123</v>
      </c>
      <c r="H8" s="25" t="s">
        <v>124</v>
      </c>
      <c r="I8" s="36" t="s">
        <v>125</v>
      </c>
      <c r="J8" s="38" t="s">
        <v>7</v>
      </c>
      <c r="K8" s="19"/>
      <c r="L8" s="21" t="s">
        <v>60</v>
      </c>
      <c r="M8" s="38" t="s">
        <v>178</v>
      </c>
      <c r="N8" s="31" t="s">
        <v>179</v>
      </c>
      <c r="O8" s="143" t="s">
        <v>180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42">
        <v>46174</v>
      </c>
      <c r="B9" s="32">
        <f>$C$5</f>
        <v>8000</v>
      </c>
      <c r="C9" s="32">
        <v>0</v>
      </c>
      <c r="D9" s="32">
        <v>0</v>
      </c>
      <c r="E9" s="32">
        <v>0</v>
      </c>
      <c r="F9" s="34">
        <f>SUM(B9:E9)</f>
        <v>8000</v>
      </c>
      <c r="G9" s="32">
        <f>$C$6</f>
        <v>240</v>
      </c>
      <c r="H9" s="32">
        <v>0</v>
      </c>
      <c r="I9" s="34">
        <f>SUM(G9:H9)</f>
        <v>240</v>
      </c>
      <c r="J9" s="43">
        <f>F9-I9</f>
        <v>7760</v>
      </c>
      <c r="K9" s="19"/>
      <c r="L9" s="42">
        <f>A9</f>
        <v>46174</v>
      </c>
      <c r="M9" s="144">
        <f>J9</f>
        <v>7760</v>
      </c>
      <c r="N9" s="145">
        <f ca="1">IF(A9&lt;=EOMONTH(TODAY(),0),$J$9+SUMIFS(Transactions[Amount],Transactions[Type],"Income",Transactions[Date],"&gt;"&amp;EOMONTH($A$9,0),Transactions[Date],"&lt;="&amp;EOMONTH(A9,0))-SUMIFS(Transactions[Amount],Transactions[Type],"Expense",Transactions[Date],"&gt;"&amp;EOMONTH($A$9,0),Transactions[Date],"&lt;="&amp;EOMONTH(A9,0)),NA())</f>
        <v>7760</v>
      </c>
      <c r="O9" s="33">
        <f ca="1">IF(ISNUMBER(N9),N9-M9,"")</f>
        <v>0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42">
        <f>EDATE(A9,1)</f>
        <v>46204</v>
      </c>
      <c r="B10" s="32">
        <f>B9+$C$4-$C$6</f>
        <v>9760</v>
      </c>
      <c r="C10" s="32">
        <v>0</v>
      </c>
      <c r="D10" s="32">
        <v>0</v>
      </c>
      <c r="E10" s="32">
        <v>0</v>
      </c>
      <c r="F10" s="34">
        <f>SUM(B10:E10)</f>
        <v>9760</v>
      </c>
      <c r="G10" s="32">
        <v>0</v>
      </c>
      <c r="H10" s="32">
        <v>0</v>
      </c>
      <c r="I10" s="34">
        <f>SUM(G10:H10)</f>
        <v>0</v>
      </c>
      <c r="J10" s="43">
        <f>F10-I10</f>
        <v>9760</v>
      </c>
      <c r="K10" s="19"/>
      <c r="L10" s="42">
        <f t="shared" ref="L10:L20" si="0">A10</f>
        <v>46204</v>
      </c>
      <c r="M10" s="144">
        <f t="shared" ref="M10:M20" si="1">J10</f>
        <v>9760</v>
      </c>
      <c r="N10" s="145" t="e">
        <f ca="1">IF(A10&lt;=EOMONTH(TODAY(),0),$J$9+SUMIFS(Transactions[Amount],Transactions[Type],"Income",Transactions[Date],"&gt;"&amp;EOMONTH($A$9,0),Transactions[Date],"&lt;="&amp;EOMONTH(A10,0))-SUMIFS(Transactions[Amount],Transactions[Type],"Expense",Transactions[Date],"&gt;"&amp;EOMONTH($A$9,0),Transactions[Date],"&lt;="&amp;EOMONTH(A10,0)),NA())</f>
        <v>#N/A</v>
      </c>
      <c r="O10" s="33" t="str">
        <f t="shared" ref="O10:O20" ca="1" si="2">IF(ISNUMBER(N10),N10-M10,"")</f>
        <v/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42">
        <f>EDATE(A10,1)</f>
        <v>46235</v>
      </c>
      <c r="B11" s="32">
        <f>B10+$C$4</f>
        <v>11760</v>
      </c>
      <c r="C11" s="32">
        <v>0</v>
      </c>
      <c r="D11" s="32">
        <v>0</v>
      </c>
      <c r="E11" s="32">
        <v>0</v>
      </c>
      <c r="F11" s="34">
        <f>SUM(B11:E11)</f>
        <v>11760</v>
      </c>
      <c r="G11" s="32">
        <v>0</v>
      </c>
      <c r="H11" s="32">
        <v>0</v>
      </c>
      <c r="I11" s="34">
        <f>SUM(G11:H11)</f>
        <v>0</v>
      </c>
      <c r="J11" s="43">
        <f>F11-I11</f>
        <v>11760</v>
      </c>
      <c r="K11" s="19"/>
      <c r="L11" s="42">
        <f t="shared" si="0"/>
        <v>46235</v>
      </c>
      <c r="M11" s="144">
        <f t="shared" si="1"/>
        <v>11760</v>
      </c>
      <c r="N11" s="145" t="e">
        <f ca="1">IF(A11&lt;=EOMONTH(TODAY(),0),$J$9+SUMIFS(Transactions[Amount],Transactions[Type],"Income",Transactions[Date],"&gt;"&amp;EOMONTH($A$9,0),Transactions[Date],"&lt;="&amp;EOMONTH(A11,0))-SUMIFS(Transactions[Amount],Transactions[Type],"Expense",Transactions[Date],"&gt;"&amp;EOMONTH($A$9,0),Transactions[Date],"&lt;="&amp;EOMONTH(A11,0)),NA())</f>
        <v>#N/A</v>
      </c>
      <c r="O11" s="33" t="str">
        <f t="shared" ca="1" si="2"/>
        <v/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42">
        <f t="shared" ref="A12:A20" si="3">EDATE(A11,1)</f>
        <v>46266</v>
      </c>
      <c r="B12" s="32">
        <f t="shared" ref="B12:B20" si="4">B11+$C$4</f>
        <v>13760</v>
      </c>
      <c r="C12" s="32">
        <v>0</v>
      </c>
      <c r="D12" s="32">
        <v>0</v>
      </c>
      <c r="E12" s="32">
        <v>0</v>
      </c>
      <c r="F12" s="34">
        <f t="shared" ref="F12:F20" si="5">SUM(B12:E12)</f>
        <v>13760</v>
      </c>
      <c r="G12" s="32">
        <v>0</v>
      </c>
      <c r="H12" s="32">
        <v>0</v>
      </c>
      <c r="I12" s="34">
        <f t="shared" ref="I12:I20" si="6">SUM(G12:H12)</f>
        <v>0</v>
      </c>
      <c r="J12" s="43">
        <f t="shared" ref="J12:J20" si="7">F12-I12</f>
        <v>13760</v>
      </c>
      <c r="K12" s="19"/>
      <c r="L12" s="42">
        <f t="shared" si="0"/>
        <v>46266</v>
      </c>
      <c r="M12" s="144">
        <f t="shared" si="1"/>
        <v>13760</v>
      </c>
      <c r="N12" s="145" t="e">
        <f ca="1">IF(A12&lt;=EOMONTH(TODAY(),0),$J$9+SUMIFS(Transactions[Amount],Transactions[Type],"Income",Transactions[Date],"&gt;"&amp;EOMONTH($A$9,0),Transactions[Date],"&lt;="&amp;EOMONTH(A12,0))-SUMIFS(Transactions[Amount],Transactions[Type],"Expense",Transactions[Date],"&gt;"&amp;EOMONTH($A$9,0),Transactions[Date],"&lt;="&amp;EOMONTH(A12,0)),NA())</f>
        <v>#N/A</v>
      </c>
      <c r="O12" s="33" t="str">
        <f t="shared" ca="1" si="2"/>
        <v/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42">
        <f t="shared" si="3"/>
        <v>46296</v>
      </c>
      <c r="B13" s="32">
        <f t="shared" si="4"/>
        <v>15760</v>
      </c>
      <c r="C13" s="32">
        <v>0</v>
      </c>
      <c r="D13" s="32">
        <v>0</v>
      </c>
      <c r="E13" s="32">
        <v>0</v>
      </c>
      <c r="F13" s="34">
        <f t="shared" si="5"/>
        <v>15760</v>
      </c>
      <c r="G13" s="32">
        <v>0</v>
      </c>
      <c r="H13" s="32">
        <v>0</v>
      </c>
      <c r="I13" s="34">
        <f t="shared" si="6"/>
        <v>0</v>
      </c>
      <c r="J13" s="43">
        <f t="shared" si="7"/>
        <v>15760</v>
      </c>
      <c r="K13" s="19"/>
      <c r="L13" s="42">
        <f t="shared" si="0"/>
        <v>46296</v>
      </c>
      <c r="M13" s="144">
        <f t="shared" si="1"/>
        <v>15760</v>
      </c>
      <c r="N13" s="145" t="e">
        <f ca="1">IF(A13&lt;=EOMONTH(TODAY(),0),$J$9+SUMIFS(Transactions[Amount],Transactions[Type],"Income",Transactions[Date],"&gt;"&amp;EOMONTH($A$9,0),Transactions[Date],"&lt;="&amp;EOMONTH(A13,0))-SUMIFS(Transactions[Amount],Transactions[Type],"Expense",Transactions[Date],"&gt;"&amp;EOMONTH($A$9,0),Transactions[Date],"&lt;="&amp;EOMONTH(A13,0)),NA())</f>
        <v>#N/A</v>
      </c>
      <c r="O13" s="33" t="str">
        <f t="shared" ca="1" si="2"/>
        <v/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42">
        <f t="shared" si="3"/>
        <v>46327</v>
      </c>
      <c r="B14" s="32">
        <f t="shared" si="4"/>
        <v>17760</v>
      </c>
      <c r="C14" s="32">
        <v>0</v>
      </c>
      <c r="D14" s="32">
        <v>0</v>
      </c>
      <c r="E14" s="32">
        <v>0</v>
      </c>
      <c r="F14" s="34">
        <f t="shared" si="5"/>
        <v>17760</v>
      </c>
      <c r="G14" s="32">
        <v>0</v>
      </c>
      <c r="H14" s="32">
        <v>0</v>
      </c>
      <c r="I14" s="34">
        <f t="shared" si="6"/>
        <v>0</v>
      </c>
      <c r="J14" s="43">
        <f t="shared" si="7"/>
        <v>17760</v>
      </c>
      <c r="K14" s="19"/>
      <c r="L14" s="42">
        <f t="shared" si="0"/>
        <v>46327</v>
      </c>
      <c r="M14" s="144">
        <f t="shared" si="1"/>
        <v>17760</v>
      </c>
      <c r="N14" s="145" t="e">
        <f ca="1">IF(A14&lt;=EOMONTH(TODAY(),0),$J$9+SUMIFS(Transactions[Amount],Transactions[Type],"Income",Transactions[Date],"&gt;"&amp;EOMONTH($A$9,0),Transactions[Date],"&lt;="&amp;EOMONTH(A14,0))-SUMIFS(Transactions[Amount],Transactions[Type],"Expense",Transactions[Date],"&gt;"&amp;EOMONTH($A$9,0),Transactions[Date],"&lt;="&amp;EOMONTH(A14,0)),NA())</f>
        <v>#N/A</v>
      </c>
      <c r="O14" s="33" t="str">
        <f t="shared" ca="1" si="2"/>
        <v/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42">
        <f t="shared" si="3"/>
        <v>46357</v>
      </c>
      <c r="B15" s="32">
        <f t="shared" si="4"/>
        <v>19760</v>
      </c>
      <c r="C15" s="32">
        <v>0</v>
      </c>
      <c r="D15" s="32">
        <v>0</v>
      </c>
      <c r="E15" s="32">
        <v>0</v>
      </c>
      <c r="F15" s="34">
        <f t="shared" si="5"/>
        <v>19760</v>
      </c>
      <c r="G15" s="32">
        <v>0</v>
      </c>
      <c r="H15" s="32">
        <v>0</v>
      </c>
      <c r="I15" s="34">
        <f t="shared" si="6"/>
        <v>0</v>
      </c>
      <c r="J15" s="43">
        <f t="shared" si="7"/>
        <v>19760</v>
      </c>
      <c r="K15" s="19"/>
      <c r="L15" s="42">
        <f t="shared" si="0"/>
        <v>46357</v>
      </c>
      <c r="M15" s="144">
        <f t="shared" si="1"/>
        <v>19760</v>
      </c>
      <c r="N15" s="145" t="e">
        <f ca="1">IF(A15&lt;=EOMONTH(TODAY(),0),$J$9+SUMIFS(Transactions[Amount],Transactions[Type],"Income",Transactions[Date],"&gt;"&amp;EOMONTH($A$9,0),Transactions[Date],"&lt;="&amp;EOMONTH(A15,0))-SUMIFS(Transactions[Amount],Transactions[Type],"Expense",Transactions[Date],"&gt;"&amp;EOMONTH($A$9,0),Transactions[Date],"&lt;="&amp;EOMONTH(A15,0)),NA())</f>
        <v>#N/A</v>
      </c>
      <c r="O15" s="33" t="str">
        <f t="shared" ca="1" si="2"/>
        <v/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42">
        <f t="shared" si="3"/>
        <v>46388</v>
      </c>
      <c r="B16" s="32">
        <f t="shared" si="4"/>
        <v>21760</v>
      </c>
      <c r="C16" s="32">
        <v>0</v>
      </c>
      <c r="D16" s="32">
        <v>0</v>
      </c>
      <c r="E16" s="32">
        <v>0</v>
      </c>
      <c r="F16" s="34">
        <f t="shared" si="5"/>
        <v>21760</v>
      </c>
      <c r="G16" s="32">
        <v>0</v>
      </c>
      <c r="H16" s="32">
        <v>0</v>
      </c>
      <c r="I16" s="34">
        <f t="shared" si="6"/>
        <v>0</v>
      </c>
      <c r="J16" s="43">
        <f t="shared" si="7"/>
        <v>21760</v>
      </c>
      <c r="K16" s="19"/>
      <c r="L16" s="42">
        <f t="shared" si="0"/>
        <v>46388</v>
      </c>
      <c r="M16" s="144">
        <f t="shared" si="1"/>
        <v>21760</v>
      </c>
      <c r="N16" s="145" t="e">
        <f ca="1">IF(A16&lt;=EOMONTH(TODAY(),0),$J$9+SUMIFS(Transactions[Amount],Transactions[Type],"Income",Transactions[Date],"&gt;"&amp;EOMONTH($A$9,0),Transactions[Date],"&lt;="&amp;EOMONTH(A16,0))-SUMIFS(Transactions[Amount],Transactions[Type],"Expense",Transactions[Date],"&gt;"&amp;EOMONTH($A$9,0),Transactions[Date],"&lt;="&amp;EOMONTH(A16,0)),NA())</f>
        <v>#N/A</v>
      </c>
      <c r="O16" s="33" t="str">
        <f t="shared" ca="1" si="2"/>
        <v/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42">
        <f t="shared" si="3"/>
        <v>46419</v>
      </c>
      <c r="B17" s="32">
        <f t="shared" si="4"/>
        <v>23760</v>
      </c>
      <c r="C17" s="32">
        <v>0</v>
      </c>
      <c r="D17" s="32">
        <v>0</v>
      </c>
      <c r="E17" s="32">
        <v>0</v>
      </c>
      <c r="F17" s="34">
        <f t="shared" si="5"/>
        <v>23760</v>
      </c>
      <c r="G17" s="32">
        <v>0</v>
      </c>
      <c r="H17" s="32">
        <v>0</v>
      </c>
      <c r="I17" s="34">
        <f t="shared" si="6"/>
        <v>0</v>
      </c>
      <c r="J17" s="43">
        <f t="shared" si="7"/>
        <v>23760</v>
      </c>
      <c r="K17" s="19"/>
      <c r="L17" s="42">
        <f t="shared" si="0"/>
        <v>46419</v>
      </c>
      <c r="M17" s="144">
        <f t="shared" si="1"/>
        <v>23760</v>
      </c>
      <c r="N17" s="145" t="e">
        <f ca="1">IF(A17&lt;=EOMONTH(TODAY(),0),$J$9+SUMIFS(Transactions[Amount],Transactions[Type],"Income",Transactions[Date],"&gt;"&amp;EOMONTH($A$9,0),Transactions[Date],"&lt;="&amp;EOMONTH(A17,0))-SUMIFS(Transactions[Amount],Transactions[Type],"Expense",Transactions[Date],"&gt;"&amp;EOMONTH($A$9,0),Transactions[Date],"&lt;="&amp;EOMONTH(A17,0)),NA())</f>
        <v>#N/A</v>
      </c>
      <c r="O17" s="33" t="str">
        <f t="shared" ca="1" si="2"/>
        <v/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42">
        <f t="shared" si="3"/>
        <v>46447</v>
      </c>
      <c r="B18" s="32">
        <f t="shared" si="4"/>
        <v>25760</v>
      </c>
      <c r="C18" s="32">
        <v>0</v>
      </c>
      <c r="D18" s="32">
        <v>0</v>
      </c>
      <c r="E18" s="32">
        <v>0</v>
      </c>
      <c r="F18" s="34">
        <f t="shared" si="5"/>
        <v>25760</v>
      </c>
      <c r="G18" s="32">
        <v>0</v>
      </c>
      <c r="H18" s="32">
        <v>0</v>
      </c>
      <c r="I18" s="34">
        <f t="shared" si="6"/>
        <v>0</v>
      </c>
      <c r="J18" s="43">
        <f t="shared" si="7"/>
        <v>25760</v>
      </c>
      <c r="K18" s="19"/>
      <c r="L18" s="42">
        <f t="shared" si="0"/>
        <v>46447</v>
      </c>
      <c r="M18" s="144">
        <f t="shared" si="1"/>
        <v>25760</v>
      </c>
      <c r="N18" s="145" t="e">
        <f ca="1">IF(A18&lt;=EOMONTH(TODAY(),0),$J$9+SUMIFS(Transactions[Amount],Transactions[Type],"Income",Transactions[Date],"&gt;"&amp;EOMONTH($A$9,0),Transactions[Date],"&lt;="&amp;EOMONTH(A18,0))-SUMIFS(Transactions[Amount],Transactions[Type],"Expense",Transactions[Date],"&gt;"&amp;EOMONTH($A$9,0),Transactions[Date],"&lt;="&amp;EOMONTH(A18,0)),NA())</f>
        <v>#N/A</v>
      </c>
      <c r="O18" s="33" t="str">
        <f t="shared" ca="1" si="2"/>
        <v/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42">
        <f t="shared" si="3"/>
        <v>46478</v>
      </c>
      <c r="B19" s="32">
        <f t="shared" si="4"/>
        <v>27760</v>
      </c>
      <c r="C19" s="32">
        <v>0</v>
      </c>
      <c r="D19" s="32">
        <v>0</v>
      </c>
      <c r="E19" s="32">
        <v>0</v>
      </c>
      <c r="F19" s="34">
        <f t="shared" si="5"/>
        <v>27760</v>
      </c>
      <c r="G19" s="32">
        <v>0</v>
      </c>
      <c r="H19" s="32">
        <v>0</v>
      </c>
      <c r="I19" s="34">
        <f t="shared" si="6"/>
        <v>0</v>
      </c>
      <c r="J19" s="43">
        <f t="shared" si="7"/>
        <v>27760</v>
      </c>
      <c r="K19" s="19"/>
      <c r="L19" s="42">
        <f t="shared" si="0"/>
        <v>46478</v>
      </c>
      <c r="M19" s="144">
        <f t="shared" si="1"/>
        <v>27760</v>
      </c>
      <c r="N19" s="145" t="e">
        <f ca="1">IF(A19&lt;=EOMONTH(TODAY(),0),$J$9+SUMIFS(Transactions[Amount],Transactions[Type],"Income",Transactions[Date],"&gt;"&amp;EOMONTH($A$9,0),Transactions[Date],"&lt;="&amp;EOMONTH(A19,0))-SUMIFS(Transactions[Amount],Transactions[Type],"Expense",Transactions[Date],"&gt;"&amp;EOMONTH($A$9,0),Transactions[Date],"&lt;="&amp;EOMONTH(A19,0)),NA())</f>
        <v>#N/A</v>
      </c>
      <c r="O19" s="33" t="str">
        <f t="shared" ca="1" si="2"/>
        <v/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42">
        <f t="shared" si="3"/>
        <v>46508</v>
      </c>
      <c r="B20" s="32">
        <f t="shared" si="4"/>
        <v>29760</v>
      </c>
      <c r="C20" s="32">
        <v>0</v>
      </c>
      <c r="D20" s="32">
        <v>0</v>
      </c>
      <c r="E20" s="32">
        <v>0</v>
      </c>
      <c r="F20" s="34">
        <f t="shared" si="5"/>
        <v>29760</v>
      </c>
      <c r="G20" s="32">
        <v>0</v>
      </c>
      <c r="H20" s="32">
        <v>0</v>
      </c>
      <c r="I20" s="34">
        <f t="shared" si="6"/>
        <v>0</v>
      </c>
      <c r="J20" s="43">
        <f t="shared" si="7"/>
        <v>29760</v>
      </c>
      <c r="K20" s="19"/>
      <c r="L20" s="42">
        <f t="shared" si="0"/>
        <v>46508</v>
      </c>
      <c r="M20" s="144">
        <f t="shared" si="1"/>
        <v>29760</v>
      </c>
      <c r="N20" s="145" t="e">
        <f ca="1">IF(A20&lt;=EOMONTH(TODAY(),0),$J$9+SUMIFS(Transactions[Amount],Transactions[Type],"Income",Transactions[Date],"&gt;"&amp;EOMONTH($A$9,0),Transactions[Date],"&lt;="&amp;EOMONTH(A20,0))-SUMIFS(Transactions[Amount],Transactions[Type],"Expense",Transactions[Date],"&gt;"&amp;EOMONTH($A$9,0),Transactions[Date],"&lt;="&amp;EOMONTH(A20,0)),NA())</f>
        <v>#N/A</v>
      </c>
      <c r="O20" s="33" t="str">
        <f t="shared" ca="1" si="2"/>
        <v/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</sheetData>
  <conditionalFormatting sqref="N9:N20">
    <cfRule type="expression" dxfId="0" priority="1">
      <formula>ISNA(N9)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447D-8298-48CA-81C9-C5ACF7BF5DDD}">
  <sheetPr>
    <tabColor rgb="FF2A9D8F"/>
  </sheetPr>
  <dimension ref="B2:G25"/>
  <sheetViews>
    <sheetView showGridLines="0" workbookViewId="0">
      <selection activeCell="B25" sqref="B25:G25"/>
    </sheetView>
  </sheetViews>
  <sheetFormatPr defaultRowHeight="15.75" x14ac:dyDescent="0.25"/>
  <cols>
    <col min="1" max="1" width="4" customWidth="1"/>
    <col min="2" max="2" width="56.625" customWidth="1"/>
    <col min="3" max="7" width="10.625" customWidth="1"/>
  </cols>
  <sheetData>
    <row r="2" spans="2:7" ht="28.5" x14ac:dyDescent="0.45">
      <c r="B2" s="4" t="s">
        <v>15</v>
      </c>
    </row>
    <row r="3" spans="2:7" x14ac:dyDescent="0.25">
      <c r="B3" s="1" t="s">
        <v>16</v>
      </c>
    </row>
    <row r="5" spans="2:7" x14ac:dyDescent="0.25">
      <c r="B5" s="5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7" t="s">
        <v>22</v>
      </c>
    </row>
    <row r="6" spans="2:7" ht="17.25" x14ac:dyDescent="0.3">
      <c r="B6" s="8" t="s">
        <v>23</v>
      </c>
      <c r="C6" s="9"/>
      <c r="D6" s="9"/>
      <c r="E6" s="9"/>
      <c r="F6" s="9"/>
      <c r="G6" s="10"/>
    </row>
    <row r="7" spans="2:7" ht="17.25" x14ac:dyDescent="0.3">
      <c r="B7" s="8" t="s">
        <v>24</v>
      </c>
      <c r="C7" s="9"/>
      <c r="D7" s="9"/>
      <c r="E7" s="9"/>
      <c r="F7" s="9"/>
      <c r="G7" s="10"/>
    </row>
    <row r="8" spans="2:7" ht="17.25" x14ac:dyDescent="0.3">
      <c r="B8" s="8" t="s">
        <v>25</v>
      </c>
      <c r="C8" s="9"/>
      <c r="D8" s="9"/>
      <c r="E8" s="9"/>
      <c r="F8" s="9"/>
      <c r="G8" s="10"/>
    </row>
    <row r="9" spans="2:7" ht="17.25" x14ac:dyDescent="0.3">
      <c r="B9" s="8" t="s">
        <v>26</v>
      </c>
      <c r="C9" s="9"/>
      <c r="D9" s="9"/>
      <c r="E9" s="9"/>
      <c r="F9" s="9"/>
      <c r="G9" s="10"/>
    </row>
    <row r="10" spans="2:7" ht="17.25" x14ac:dyDescent="0.3">
      <c r="B10" s="11" t="s">
        <v>27</v>
      </c>
      <c r="C10" s="12"/>
      <c r="D10" s="12"/>
      <c r="E10" s="12"/>
      <c r="F10" s="12"/>
      <c r="G10" s="13"/>
    </row>
    <row r="13" spans="2:7" x14ac:dyDescent="0.25">
      <c r="B13" s="3" t="s">
        <v>28</v>
      </c>
      <c r="C13" s="14"/>
      <c r="D13" s="14"/>
      <c r="E13" s="14"/>
      <c r="F13" s="14"/>
      <c r="G13" s="14"/>
    </row>
    <row r="14" spans="2:7" x14ac:dyDescent="0.25">
      <c r="B14" t="s">
        <v>29</v>
      </c>
    </row>
    <row r="15" spans="2:7" x14ac:dyDescent="0.25">
      <c r="B15" t="s">
        <v>30</v>
      </c>
    </row>
    <row r="16" spans="2:7" x14ac:dyDescent="0.25">
      <c r="B16" t="s">
        <v>31</v>
      </c>
    </row>
    <row r="18" spans="2:7" x14ac:dyDescent="0.25">
      <c r="B18" s="2" t="s">
        <v>32</v>
      </c>
    </row>
    <row r="19" spans="2:7" x14ac:dyDescent="0.25">
      <c r="B19" s="133"/>
      <c r="C19" s="134"/>
      <c r="D19" s="134"/>
      <c r="E19" s="134"/>
      <c r="F19" s="134"/>
      <c r="G19" s="135"/>
    </row>
    <row r="20" spans="2:7" x14ac:dyDescent="0.25">
      <c r="B20" s="136"/>
      <c r="C20" s="137"/>
      <c r="D20" s="137"/>
      <c r="E20" s="137"/>
      <c r="F20" s="137"/>
      <c r="G20" s="138"/>
    </row>
    <row r="21" spans="2:7" x14ac:dyDescent="0.25">
      <c r="B21" s="136"/>
      <c r="C21" s="137"/>
      <c r="D21" s="137"/>
      <c r="E21" s="137"/>
      <c r="F21" s="137"/>
      <c r="G21" s="138"/>
    </row>
    <row r="22" spans="2:7" x14ac:dyDescent="0.25">
      <c r="B22" s="136"/>
      <c r="C22" s="137"/>
      <c r="D22" s="137"/>
      <c r="E22" s="137"/>
      <c r="F22" s="137"/>
      <c r="G22" s="138"/>
    </row>
    <row r="23" spans="2:7" x14ac:dyDescent="0.25">
      <c r="B23" s="139"/>
      <c r="C23" s="140"/>
      <c r="D23" s="140"/>
      <c r="E23" s="140"/>
      <c r="F23" s="140"/>
      <c r="G23" s="141"/>
    </row>
    <row r="25" spans="2:7" ht="26.1" customHeight="1" x14ac:dyDescent="0.25">
      <c r="B25" s="102" t="s">
        <v>33</v>
      </c>
      <c r="C25" s="102"/>
      <c r="D25" s="102"/>
      <c r="E25" s="102"/>
      <c r="F25" s="102"/>
      <c r="G25" s="102"/>
    </row>
  </sheetData>
  <mergeCells count="2">
    <mergeCell ref="B19:G23"/>
    <mergeCell ref="B25:G25"/>
  </mergeCells>
  <dataValidations count="1">
    <dataValidation type="list" allowBlank="1" showInputMessage="1" showErrorMessage="1" sqref="C6:G10" xr:uid="{0351C960-9AC5-4125-BE8B-1A58F5DE8B7A}">
      <formula1>"✓"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1422-37D6-4148-9859-84809C7030A0}">
  <sheetPr>
    <tabColor rgb="FF1F3A3D"/>
  </sheetPr>
  <dimension ref="B2:D16"/>
  <sheetViews>
    <sheetView showGridLines="0" topLeftCell="B11" workbookViewId="0">
      <selection activeCell="B17" sqref="B17"/>
    </sheetView>
  </sheetViews>
  <sheetFormatPr defaultRowHeight="15.75" x14ac:dyDescent="0.25"/>
  <cols>
    <col min="1" max="1" width="4" customWidth="1"/>
    <col min="2" max="2" width="60" customWidth="1"/>
    <col min="3" max="3" width="4" customWidth="1"/>
    <col min="4" max="4" width="60" customWidth="1"/>
    <col min="5" max="5" width="4" customWidth="1"/>
  </cols>
  <sheetData>
    <row r="2" spans="2:4" ht="28.5" x14ac:dyDescent="0.45">
      <c r="B2" s="4" t="s">
        <v>34</v>
      </c>
    </row>
    <row r="3" spans="2:4" x14ac:dyDescent="0.25">
      <c r="B3" s="1" t="s">
        <v>35</v>
      </c>
    </row>
    <row r="5" spans="2:4" x14ac:dyDescent="0.25">
      <c r="B5" s="99" t="s">
        <v>36</v>
      </c>
      <c r="C5" s="100"/>
      <c r="D5" s="100"/>
    </row>
    <row r="6" spans="2:4" ht="21" x14ac:dyDescent="0.35">
      <c r="B6" s="101" t="s">
        <v>37</v>
      </c>
      <c r="C6" s="100"/>
      <c r="D6" s="100"/>
    </row>
    <row r="7" spans="2:4" ht="21.95" customHeight="1" x14ac:dyDescent="0.25">
      <c r="B7" s="102" t="s">
        <v>38</v>
      </c>
      <c r="C7" s="100"/>
      <c r="D7" s="100"/>
    </row>
    <row r="9" spans="2:4" x14ac:dyDescent="0.25">
      <c r="B9" s="15" t="s">
        <v>39</v>
      </c>
      <c r="C9" s="16"/>
      <c r="D9" s="15" t="s">
        <v>45</v>
      </c>
    </row>
    <row r="10" spans="2:4" ht="69.95" customHeight="1" x14ac:dyDescent="0.25">
      <c r="B10" s="18" t="s">
        <v>40</v>
      </c>
      <c r="C10" s="16"/>
      <c r="D10" s="18" t="s">
        <v>46</v>
      </c>
    </row>
    <row r="11" spans="2:4" x14ac:dyDescent="0.25">
      <c r="B11" s="16"/>
      <c r="C11" s="16"/>
      <c r="D11" s="16"/>
    </row>
    <row r="12" spans="2:4" x14ac:dyDescent="0.25">
      <c r="B12" s="15" t="s">
        <v>41</v>
      </c>
      <c r="C12" s="16"/>
      <c r="D12" s="15" t="s">
        <v>47</v>
      </c>
    </row>
    <row r="13" spans="2:4" ht="69.95" customHeight="1" x14ac:dyDescent="0.25">
      <c r="B13" s="18" t="s">
        <v>42</v>
      </c>
      <c r="C13" s="16"/>
      <c r="D13" s="18" t="s">
        <v>48</v>
      </c>
    </row>
    <row r="14" spans="2:4" x14ac:dyDescent="0.25">
      <c r="B14" s="16"/>
      <c r="C14" s="16"/>
      <c r="D14" s="16"/>
    </row>
    <row r="15" spans="2:4" x14ac:dyDescent="0.25">
      <c r="B15" s="15" t="s">
        <v>43</v>
      </c>
      <c r="C15" s="16"/>
      <c r="D15" s="17" t="s">
        <v>49</v>
      </c>
    </row>
    <row r="16" spans="2:4" ht="120" customHeight="1" x14ac:dyDescent="0.25">
      <c r="B16" s="18" t="s">
        <v>44</v>
      </c>
      <c r="C16" s="16"/>
      <c r="D16" s="18" t="s">
        <v>50</v>
      </c>
    </row>
  </sheetData>
  <mergeCells count="3">
    <mergeCell ref="B5:D5"/>
    <mergeCell ref="B6:D6"/>
    <mergeCell ref="B7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6084-F537-4C68-8A7F-9C3C060B8150}">
  <dimension ref="A1:J200"/>
  <sheetViews>
    <sheetView topLeftCell="B1" workbookViewId="0">
      <selection activeCell="B12" sqref="B12"/>
    </sheetView>
  </sheetViews>
  <sheetFormatPr defaultRowHeight="15.75" outlineLevelCol="1" x14ac:dyDescent="0.25"/>
  <cols>
    <col min="1" max="1" width="15.875" customWidth="1"/>
    <col min="2" max="2" width="28.375" customWidth="1"/>
    <col min="3" max="3" width="23.375" customWidth="1"/>
    <col min="4" max="4" width="15.875" customWidth="1"/>
    <col min="5" max="5" width="16.625" customWidth="1"/>
    <col min="6" max="7" width="3" customWidth="1"/>
    <col min="8" max="8" width="21.625" hidden="1" customWidth="1" outlineLevel="1"/>
    <col min="9" max="9" width="18.375" hidden="1" customWidth="1" outlineLevel="1"/>
    <col min="10" max="10" width="9" collapsed="1"/>
  </cols>
  <sheetData>
    <row r="1" spans="1:9" ht="23.25" x14ac:dyDescent="0.35">
      <c r="A1" s="23" t="s">
        <v>87</v>
      </c>
    </row>
    <row r="2" spans="1:9" x14ac:dyDescent="0.25">
      <c r="A2" s="24" t="s">
        <v>88</v>
      </c>
    </row>
    <row r="4" spans="1:9" x14ac:dyDescent="0.25">
      <c r="A4" s="21" t="s">
        <v>89</v>
      </c>
      <c r="B4" s="21" t="s">
        <v>90</v>
      </c>
      <c r="C4" s="21" t="s">
        <v>51</v>
      </c>
      <c r="D4" s="21" t="s">
        <v>91</v>
      </c>
      <c r="E4" s="25" t="s">
        <v>92</v>
      </c>
      <c r="H4" t="s">
        <v>101</v>
      </c>
      <c r="I4" t="s">
        <v>102</v>
      </c>
    </row>
    <row r="5" spans="1:9" x14ac:dyDescent="0.25">
      <c r="A5" s="26">
        <v>46174</v>
      </c>
      <c r="B5" t="s">
        <v>93</v>
      </c>
      <c r="C5" t="s">
        <v>2</v>
      </c>
      <c r="D5" t="s">
        <v>61</v>
      </c>
      <c r="E5" s="27">
        <v>2800</v>
      </c>
      <c r="H5" t="s">
        <v>2</v>
      </c>
      <c r="I5" t="s">
        <v>61</v>
      </c>
    </row>
    <row r="6" spans="1:9" x14ac:dyDescent="0.25">
      <c r="A6" s="26">
        <v>46175</v>
      </c>
      <c r="B6" t="s">
        <v>94</v>
      </c>
      <c r="C6" t="s">
        <v>94</v>
      </c>
      <c r="D6" t="s">
        <v>95</v>
      </c>
      <c r="E6" s="27">
        <v>400</v>
      </c>
      <c r="H6" t="s">
        <v>94</v>
      </c>
      <c r="I6" t="s">
        <v>95</v>
      </c>
    </row>
    <row r="7" spans="1:9" x14ac:dyDescent="0.25">
      <c r="A7" s="26">
        <v>46176</v>
      </c>
      <c r="B7" t="s">
        <v>96</v>
      </c>
      <c r="C7" t="s">
        <v>97</v>
      </c>
      <c r="D7" t="s">
        <v>95</v>
      </c>
      <c r="E7" s="27">
        <v>300</v>
      </c>
      <c r="H7" t="s">
        <v>97</v>
      </c>
      <c r="I7" t="s">
        <v>107</v>
      </c>
    </row>
    <row r="8" spans="1:9" x14ac:dyDescent="0.25">
      <c r="A8" s="26">
        <v>46178</v>
      </c>
      <c r="B8" t="s">
        <v>98</v>
      </c>
      <c r="C8" t="s">
        <v>98</v>
      </c>
      <c r="D8" t="s">
        <v>95</v>
      </c>
      <c r="E8" s="27">
        <v>100</v>
      </c>
      <c r="H8" t="s">
        <v>98</v>
      </c>
      <c r="I8" t="s">
        <v>108</v>
      </c>
    </row>
    <row r="9" spans="1:9" x14ac:dyDescent="0.25">
      <c r="A9" s="26">
        <v>46180</v>
      </c>
      <c r="B9" t="s">
        <v>99</v>
      </c>
      <c r="C9" t="s">
        <v>100</v>
      </c>
      <c r="D9" t="s">
        <v>9</v>
      </c>
      <c r="E9" s="27">
        <v>2000</v>
      </c>
      <c r="H9" t="s">
        <v>103</v>
      </c>
      <c r="I9" t="s">
        <v>9</v>
      </c>
    </row>
    <row r="10" spans="1:9" x14ac:dyDescent="0.25">
      <c r="E10" s="27"/>
      <c r="H10" t="s">
        <v>4</v>
      </c>
    </row>
    <row r="11" spans="1:9" x14ac:dyDescent="0.25">
      <c r="E11" s="27"/>
      <c r="H11" t="s">
        <v>104</v>
      </c>
    </row>
    <row r="12" spans="1:9" x14ac:dyDescent="0.25">
      <c r="E12" s="27"/>
      <c r="H12" t="s">
        <v>105</v>
      </c>
    </row>
    <row r="13" spans="1:9" x14ac:dyDescent="0.25">
      <c r="E13" s="27"/>
      <c r="H13" t="s">
        <v>106</v>
      </c>
    </row>
    <row r="14" spans="1:9" x14ac:dyDescent="0.25">
      <c r="E14" s="27"/>
      <c r="H14" t="s">
        <v>100</v>
      </c>
    </row>
    <row r="15" spans="1:9" x14ac:dyDescent="0.25">
      <c r="E15" s="27"/>
      <c r="H15" t="s">
        <v>73</v>
      </c>
    </row>
    <row r="16" spans="1:9" x14ac:dyDescent="0.25">
      <c r="E16" s="27"/>
    </row>
    <row r="17" spans="5:5" x14ac:dyDescent="0.25">
      <c r="E17" s="27"/>
    </row>
    <row r="18" spans="5:5" x14ac:dyDescent="0.25">
      <c r="E18" s="27"/>
    </row>
    <row r="19" spans="5:5" x14ac:dyDescent="0.25">
      <c r="E19" s="27"/>
    </row>
    <row r="20" spans="5:5" x14ac:dyDescent="0.25">
      <c r="E20" s="27"/>
    </row>
    <row r="21" spans="5:5" x14ac:dyDescent="0.25">
      <c r="E21" s="27"/>
    </row>
    <row r="22" spans="5:5" x14ac:dyDescent="0.25">
      <c r="E22" s="27"/>
    </row>
    <row r="23" spans="5:5" x14ac:dyDescent="0.25">
      <c r="E23" s="27"/>
    </row>
    <row r="24" spans="5:5" x14ac:dyDescent="0.25">
      <c r="E24" s="27"/>
    </row>
    <row r="25" spans="5:5" x14ac:dyDescent="0.25">
      <c r="E25" s="27"/>
    </row>
    <row r="26" spans="5:5" x14ac:dyDescent="0.25">
      <c r="E26" s="27"/>
    </row>
    <row r="27" spans="5:5" x14ac:dyDescent="0.25">
      <c r="E27" s="27"/>
    </row>
    <row r="28" spans="5:5" x14ac:dyDescent="0.25">
      <c r="E28" s="27"/>
    </row>
    <row r="29" spans="5:5" x14ac:dyDescent="0.25">
      <c r="E29" s="27"/>
    </row>
    <row r="30" spans="5:5" x14ac:dyDescent="0.25">
      <c r="E30" s="27"/>
    </row>
    <row r="31" spans="5:5" x14ac:dyDescent="0.25">
      <c r="E31" s="27"/>
    </row>
    <row r="32" spans="5:5" x14ac:dyDescent="0.25">
      <c r="E32" s="27"/>
    </row>
    <row r="33" spans="5:5" x14ac:dyDescent="0.25">
      <c r="E33" s="27"/>
    </row>
    <row r="34" spans="5:5" x14ac:dyDescent="0.25">
      <c r="E34" s="27"/>
    </row>
    <row r="35" spans="5:5" x14ac:dyDescent="0.25">
      <c r="E35" s="27"/>
    </row>
    <row r="36" spans="5:5" x14ac:dyDescent="0.25">
      <c r="E36" s="27"/>
    </row>
    <row r="37" spans="5:5" x14ac:dyDescent="0.25">
      <c r="E37" s="27"/>
    </row>
    <row r="38" spans="5:5" x14ac:dyDescent="0.25">
      <c r="E38" s="27"/>
    </row>
    <row r="39" spans="5:5" x14ac:dyDescent="0.25">
      <c r="E39" s="27"/>
    </row>
    <row r="40" spans="5:5" x14ac:dyDescent="0.25">
      <c r="E40" s="27"/>
    </row>
    <row r="41" spans="5:5" x14ac:dyDescent="0.25">
      <c r="E41" s="27"/>
    </row>
    <row r="42" spans="5:5" x14ac:dyDescent="0.25">
      <c r="E42" s="27"/>
    </row>
    <row r="43" spans="5:5" x14ac:dyDescent="0.25">
      <c r="E43" s="27"/>
    </row>
    <row r="44" spans="5:5" x14ac:dyDescent="0.25">
      <c r="E44" s="27"/>
    </row>
    <row r="45" spans="5:5" x14ac:dyDescent="0.25">
      <c r="E45" s="27"/>
    </row>
    <row r="46" spans="5:5" x14ac:dyDescent="0.25">
      <c r="E46" s="27"/>
    </row>
    <row r="47" spans="5:5" x14ac:dyDescent="0.25">
      <c r="E47" s="27"/>
    </row>
    <row r="48" spans="5:5" x14ac:dyDescent="0.25">
      <c r="E48" s="27"/>
    </row>
    <row r="49" spans="5:5" x14ac:dyDescent="0.25">
      <c r="E49" s="27"/>
    </row>
    <row r="50" spans="5:5" x14ac:dyDescent="0.25">
      <c r="E50" s="27"/>
    </row>
    <row r="51" spans="5:5" x14ac:dyDescent="0.25">
      <c r="E51" s="27"/>
    </row>
    <row r="52" spans="5:5" x14ac:dyDescent="0.25">
      <c r="E52" s="27"/>
    </row>
    <row r="53" spans="5:5" x14ac:dyDescent="0.25">
      <c r="E53" s="27"/>
    </row>
    <row r="54" spans="5:5" x14ac:dyDescent="0.25">
      <c r="E54" s="27"/>
    </row>
    <row r="55" spans="5:5" x14ac:dyDescent="0.25">
      <c r="E55" s="27"/>
    </row>
    <row r="56" spans="5:5" x14ac:dyDescent="0.25">
      <c r="E56" s="27"/>
    </row>
    <row r="57" spans="5:5" x14ac:dyDescent="0.25">
      <c r="E57" s="27"/>
    </row>
    <row r="58" spans="5:5" x14ac:dyDescent="0.25">
      <c r="E58" s="27"/>
    </row>
    <row r="59" spans="5:5" x14ac:dyDescent="0.25">
      <c r="E59" s="27"/>
    </row>
    <row r="60" spans="5:5" x14ac:dyDescent="0.25">
      <c r="E60" s="27"/>
    </row>
    <row r="61" spans="5:5" x14ac:dyDescent="0.25">
      <c r="E61" s="27"/>
    </row>
    <row r="62" spans="5:5" x14ac:dyDescent="0.25">
      <c r="E62" s="27"/>
    </row>
    <row r="63" spans="5:5" x14ac:dyDescent="0.25">
      <c r="E63" s="27"/>
    </row>
    <row r="64" spans="5:5" x14ac:dyDescent="0.25">
      <c r="E64" s="27"/>
    </row>
    <row r="65" spans="5:5" x14ac:dyDescent="0.25">
      <c r="E65" s="27"/>
    </row>
    <row r="66" spans="5:5" x14ac:dyDescent="0.25">
      <c r="E66" s="27"/>
    </row>
    <row r="67" spans="5:5" x14ac:dyDescent="0.25">
      <c r="E67" s="27"/>
    </row>
    <row r="68" spans="5:5" x14ac:dyDescent="0.25">
      <c r="E68" s="27"/>
    </row>
    <row r="69" spans="5:5" x14ac:dyDescent="0.25">
      <c r="E69" s="27"/>
    </row>
    <row r="70" spans="5:5" x14ac:dyDescent="0.25">
      <c r="E70" s="27"/>
    </row>
    <row r="71" spans="5:5" x14ac:dyDescent="0.25">
      <c r="E71" s="27"/>
    </row>
    <row r="72" spans="5:5" x14ac:dyDescent="0.25">
      <c r="E72" s="27"/>
    </row>
    <row r="73" spans="5:5" x14ac:dyDescent="0.25">
      <c r="E73" s="27"/>
    </row>
    <row r="74" spans="5:5" x14ac:dyDescent="0.25">
      <c r="E74" s="27"/>
    </row>
    <row r="75" spans="5:5" x14ac:dyDescent="0.25">
      <c r="E75" s="27"/>
    </row>
    <row r="76" spans="5:5" x14ac:dyDescent="0.25">
      <c r="E76" s="27"/>
    </row>
    <row r="77" spans="5:5" x14ac:dyDescent="0.25">
      <c r="E77" s="27"/>
    </row>
    <row r="78" spans="5:5" x14ac:dyDescent="0.25">
      <c r="E78" s="27"/>
    </row>
    <row r="79" spans="5:5" x14ac:dyDescent="0.25">
      <c r="E79" s="27"/>
    </row>
    <row r="80" spans="5:5" x14ac:dyDescent="0.25">
      <c r="E80" s="27"/>
    </row>
    <row r="81" spans="5:5" x14ac:dyDescent="0.25">
      <c r="E81" s="27"/>
    </row>
    <row r="82" spans="5:5" x14ac:dyDescent="0.25">
      <c r="E82" s="27"/>
    </row>
    <row r="83" spans="5:5" x14ac:dyDescent="0.25">
      <c r="E83" s="27"/>
    </row>
    <row r="84" spans="5:5" x14ac:dyDescent="0.25">
      <c r="E84" s="27"/>
    </row>
    <row r="85" spans="5:5" x14ac:dyDescent="0.25">
      <c r="E85" s="27"/>
    </row>
    <row r="86" spans="5:5" x14ac:dyDescent="0.25">
      <c r="E86" s="27"/>
    </row>
    <row r="87" spans="5:5" x14ac:dyDescent="0.25">
      <c r="E87" s="27"/>
    </row>
    <row r="88" spans="5:5" x14ac:dyDescent="0.25">
      <c r="E88" s="27"/>
    </row>
    <row r="89" spans="5:5" x14ac:dyDescent="0.25">
      <c r="E89" s="27"/>
    </row>
    <row r="90" spans="5:5" x14ac:dyDescent="0.25">
      <c r="E90" s="27"/>
    </row>
    <row r="91" spans="5:5" x14ac:dyDescent="0.25">
      <c r="E91" s="27"/>
    </row>
    <row r="92" spans="5:5" x14ac:dyDescent="0.25">
      <c r="E92" s="27"/>
    </row>
    <row r="93" spans="5:5" x14ac:dyDescent="0.25">
      <c r="E93" s="27"/>
    </row>
    <row r="94" spans="5:5" x14ac:dyDescent="0.25">
      <c r="E94" s="27"/>
    </row>
    <row r="95" spans="5:5" x14ac:dyDescent="0.25">
      <c r="E95" s="27"/>
    </row>
    <row r="96" spans="5:5" x14ac:dyDescent="0.25">
      <c r="E96" s="27"/>
    </row>
    <row r="97" spans="5:5" x14ac:dyDescent="0.25">
      <c r="E97" s="27"/>
    </row>
    <row r="98" spans="5:5" x14ac:dyDescent="0.25">
      <c r="E98" s="27"/>
    </row>
    <row r="99" spans="5:5" x14ac:dyDescent="0.25">
      <c r="E99" s="27"/>
    </row>
    <row r="100" spans="5:5" x14ac:dyDescent="0.25">
      <c r="E100" s="27"/>
    </row>
    <row r="101" spans="5:5" x14ac:dyDescent="0.25">
      <c r="E101" s="27"/>
    </row>
    <row r="102" spans="5:5" x14ac:dyDescent="0.25">
      <c r="E102" s="27"/>
    </row>
    <row r="103" spans="5:5" x14ac:dyDescent="0.25">
      <c r="E103" s="27"/>
    </row>
    <row r="104" spans="5:5" x14ac:dyDescent="0.25">
      <c r="E104" s="27"/>
    </row>
    <row r="105" spans="5:5" x14ac:dyDescent="0.25">
      <c r="E105" s="27"/>
    </row>
    <row r="106" spans="5:5" x14ac:dyDescent="0.25">
      <c r="E106" s="27"/>
    </row>
    <row r="107" spans="5:5" x14ac:dyDescent="0.25">
      <c r="E107" s="27"/>
    </row>
    <row r="108" spans="5:5" x14ac:dyDescent="0.25">
      <c r="E108" s="27"/>
    </row>
    <row r="109" spans="5:5" x14ac:dyDescent="0.25">
      <c r="E109" s="27"/>
    </row>
    <row r="110" spans="5:5" x14ac:dyDescent="0.25">
      <c r="E110" s="27"/>
    </row>
    <row r="111" spans="5:5" x14ac:dyDescent="0.25">
      <c r="E111" s="27"/>
    </row>
    <row r="112" spans="5:5" x14ac:dyDescent="0.25">
      <c r="E112" s="27"/>
    </row>
    <row r="113" spans="5:5" x14ac:dyDescent="0.25">
      <c r="E113" s="27"/>
    </row>
    <row r="114" spans="5:5" x14ac:dyDescent="0.25">
      <c r="E114" s="27"/>
    </row>
    <row r="115" spans="5:5" x14ac:dyDescent="0.25">
      <c r="E115" s="27"/>
    </row>
    <row r="116" spans="5:5" x14ac:dyDescent="0.25">
      <c r="E116" s="27"/>
    </row>
    <row r="117" spans="5:5" x14ac:dyDescent="0.25">
      <c r="E117" s="27"/>
    </row>
    <row r="118" spans="5:5" x14ac:dyDescent="0.25">
      <c r="E118" s="27"/>
    </row>
    <row r="119" spans="5:5" x14ac:dyDescent="0.25">
      <c r="E119" s="27"/>
    </row>
    <row r="120" spans="5:5" x14ac:dyDescent="0.25">
      <c r="E120" s="27"/>
    </row>
    <row r="121" spans="5:5" x14ac:dyDescent="0.25">
      <c r="E121" s="27"/>
    </row>
    <row r="122" spans="5:5" x14ac:dyDescent="0.25">
      <c r="E122" s="27"/>
    </row>
    <row r="123" spans="5:5" x14ac:dyDescent="0.25">
      <c r="E123" s="27"/>
    </row>
    <row r="124" spans="5:5" x14ac:dyDescent="0.25">
      <c r="E124" s="27"/>
    </row>
    <row r="125" spans="5:5" x14ac:dyDescent="0.25">
      <c r="E125" s="27"/>
    </row>
    <row r="126" spans="5:5" x14ac:dyDescent="0.25">
      <c r="E126" s="27"/>
    </row>
    <row r="127" spans="5:5" x14ac:dyDescent="0.25">
      <c r="E127" s="27"/>
    </row>
    <row r="128" spans="5:5" x14ac:dyDescent="0.25">
      <c r="E128" s="27"/>
    </row>
    <row r="129" spans="5:5" x14ac:dyDescent="0.25">
      <c r="E129" s="27"/>
    </row>
    <row r="130" spans="5:5" x14ac:dyDescent="0.25">
      <c r="E130" s="27"/>
    </row>
    <row r="131" spans="5:5" x14ac:dyDescent="0.25">
      <c r="E131" s="27"/>
    </row>
    <row r="132" spans="5:5" x14ac:dyDescent="0.25">
      <c r="E132" s="27"/>
    </row>
    <row r="133" spans="5:5" x14ac:dyDescent="0.25">
      <c r="E133" s="27"/>
    </row>
    <row r="134" spans="5:5" x14ac:dyDescent="0.25">
      <c r="E134" s="27"/>
    </row>
    <row r="135" spans="5:5" x14ac:dyDescent="0.25">
      <c r="E135" s="27"/>
    </row>
    <row r="136" spans="5:5" x14ac:dyDescent="0.25">
      <c r="E136" s="27"/>
    </row>
    <row r="137" spans="5:5" x14ac:dyDescent="0.25">
      <c r="E137" s="27"/>
    </row>
    <row r="138" spans="5:5" x14ac:dyDescent="0.25">
      <c r="E138" s="27"/>
    </row>
    <row r="139" spans="5:5" x14ac:dyDescent="0.25">
      <c r="E139" s="27"/>
    </row>
    <row r="140" spans="5:5" x14ac:dyDescent="0.25">
      <c r="E140" s="27"/>
    </row>
    <row r="141" spans="5:5" x14ac:dyDescent="0.25">
      <c r="E141" s="27"/>
    </row>
    <row r="142" spans="5:5" x14ac:dyDescent="0.25">
      <c r="E142" s="27"/>
    </row>
    <row r="143" spans="5:5" x14ac:dyDescent="0.25">
      <c r="E143" s="27"/>
    </row>
    <row r="144" spans="5:5" x14ac:dyDescent="0.25">
      <c r="E144" s="27"/>
    </row>
    <row r="145" spans="5:5" x14ac:dyDescent="0.25">
      <c r="E145" s="27"/>
    </row>
    <row r="146" spans="5:5" x14ac:dyDescent="0.25">
      <c r="E146" s="27"/>
    </row>
    <row r="147" spans="5:5" x14ac:dyDescent="0.25">
      <c r="E147" s="27"/>
    </row>
    <row r="148" spans="5:5" x14ac:dyDescent="0.25">
      <c r="E148" s="27"/>
    </row>
    <row r="149" spans="5:5" x14ac:dyDescent="0.25">
      <c r="E149" s="27"/>
    </row>
    <row r="150" spans="5:5" x14ac:dyDescent="0.25">
      <c r="E150" s="27"/>
    </row>
    <row r="151" spans="5:5" x14ac:dyDescent="0.25">
      <c r="E151" s="27"/>
    </row>
    <row r="152" spans="5:5" x14ac:dyDescent="0.25">
      <c r="E152" s="27"/>
    </row>
    <row r="153" spans="5:5" x14ac:dyDescent="0.25">
      <c r="E153" s="27"/>
    </row>
    <row r="154" spans="5:5" x14ac:dyDescent="0.25">
      <c r="E154" s="27"/>
    </row>
    <row r="155" spans="5:5" x14ac:dyDescent="0.25">
      <c r="E155" s="27"/>
    </row>
    <row r="156" spans="5:5" x14ac:dyDescent="0.25">
      <c r="E156" s="27"/>
    </row>
    <row r="157" spans="5:5" x14ac:dyDescent="0.25">
      <c r="E157" s="27"/>
    </row>
    <row r="158" spans="5:5" x14ac:dyDescent="0.25">
      <c r="E158" s="27"/>
    </row>
    <row r="159" spans="5:5" x14ac:dyDescent="0.25">
      <c r="E159" s="27"/>
    </row>
    <row r="160" spans="5:5" x14ac:dyDescent="0.25">
      <c r="E160" s="27"/>
    </row>
    <row r="161" spans="5:5" x14ac:dyDescent="0.25">
      <c r="E161" s="27"/>
    </row>
    <row r="162" spans="5:5" x14ac:dyDescent="0.25">
      <c r="E162" s="27"/>
    </row>
    <row r="163" spans="5:5" x14ac:dyDescent="0.25">
      <c r="E163" s="27"/>
    </row>
    <row r="164" spans="5:5" x14ac:dyDescent="0.25">
      <c r="E164" s="27"/>
    </row>
    <row r="165" spans="5:5" x14ac:dyDescent="0.25">
      <c r="E165" s="27"/>
    </row>
    <row r="166" spans="5:5" x14ac:dyDescent="0.25">
      <c r="E166" s="27"/>
    </row>
    <row r="167" spans="5:5" x14ac:dyDescent="0.25">
      <c r="E167" s="27"/>
    </row>
    <row r="168" spans="5:5" x14ac:dyDescent="0.25">
      <c r="E168" s="27"/>
    </row>
    <row r="169" spans="5:5" x14ac:dyDescent="0.25">
      <c r="E169" s="27"/>
    </row>
    <row r="170" spans="5:5" x14ac:dyDescent="0.25">
      <c r="E170" s="27"/>
    </row>
    <row r="171" spans="5:5" x14ac:dyDescent="0.25">
      <c r="E171" s="27"/>
    </row>
    <row r="172" spans="5:5" x14ac:dyDescent="0.25">
      <c r="E172" s="27"/>
    </row>
    <row r="173" spans="5:5" x14ac:dyDescent="0.25">
      <c r="E173" s="27"/>
    </row>
    <row r="174" spans="5:5" x14ac:dyDescent="0.25">
      <c r="E174" s="27"/>
    </row>
    <row r="175" spans="5:5" x14ac:dyDescent="0.25">
      <c r="E175" s="27"/>
    </row>
    <row r="176" spans="5:5" x14ac:dyDescent="0.25">
      <c r="E176" s="27"/>
    </row>
    <row r="177" spans="5:5" x14ac:dyDescent="0.25">
      <c r="E177" s="27"/>
    </row>
    <row r="178" spans="5:5" x14ac:dyDescent="0.25">
      <c r="E178" s="27"/>
    </row>
    <row r="179" spans="5:5" x14ac:dyDescent="0.25">
      <c r="E179" s="27"/>
    </row>
    <row r="180" spans="5:5" x14ac:dyDescent="0.25">
      <c r="E180" s="27"/>
    </row>
    <row r="181" spans="5:5" x14ac:dyDescent="0.25">
      <c r="E181" s="27"/>
    </row>
    <row r="182" spans="5:5" x14ac:dyDescent="0.25">
      <c r="E182" s="27"/>
    </row>
    <row r="183" spans="5:5" x14ac:dyDescent="0.25">
      <c r="E183" s="27"/>
    </row>
    <row r="184" spans="5:5" x14ac:dyDescent="0.25">
      <c r="E184" s="27"/>
    </row>
    <row r="185" spans="5:5" x14ac:dyDescent="0.25">
      <c r="E185" s="27"/>
    </row>
    <row r="186" spans="5:5" x14ac:dyDescent="0.25">
      <c r="E186" s="27"/>
    </row>
    <row r="187" spans="5:5" x14ac:dyDescent="0.25">
      <c r="E187" s="27"/>
    </row>
    <row r="188" spans="5:5" x14ac:dyDescent="0.25">
      <c r="E188" s="27"/>
    </row>
    <row r="189" spans="5:5" x14ac:dyDescent="0.25">
      <c r="E189" s="27"/>
    </row>
    <row r="190" spans="5:5" x14ac:dyDescent="0.25">
      <c r="E190" s="27"/>
    </row>
    <row r="191" spans="5:5" x14ac:dyDescent="0.25">
      <c r="E191" s="27"/>
    </row>
    <row r="192" spans="5:5" x14ac:dyDescent="0.25">
      <c r="E192" s="27"/>
    </row>
    <row r="193" spans="5:5" x14ac:dyDescent="0.25">
      <c r="E193" s="27"/>
    </row>
    <row r="194" spans="5:5" x14ac:dyDescent="0.25">
      <c r="E194" s="27"/>
    </row>
    <row r="195" spans="5:5" x14ac:dyDescent="0.25">
      <c r="E195" s="27"/>
    </row>
    <row r="196" spans="5:5" x14ac:dyDescent="0.25">
      <c r="E196" s="27"/>
    </row>
    <row r="197" spans="5:5" x14ac:dyDescent="0.25">
      <c r="E197" s="27"/>
    </row>
    <row r="198" spans="5:5" x14ac:dyDescent="0.25">
      <c r="E198" s="27"/>
    </row>
    <row r="199" spans="5:5" x14ac:dyDescent="0.25">
      <c r="E199" s="27"/>
    </row>
    <row r="200" spans="5:5" x14ac:dyDescent="0.25">
      <c r="E200" s="27"/>
    </row>
  </sheetData>
  <dataValidations count="2">
    <dataValidation type="list" allowBlank="1" showInputMessage="1" showErrorMessage="1" sqref="C101:C200 C5:C100" xr:uid="{AA05FA77-7073-436A-9C3E-232AED075B16}">
      <formula1>$H$5:$H$15</formula1>
    </dataValidation>
    <dataValidation type="list" allowBlank="1" showInputMessage="1" showErrorMessage="1" sqref="D101:D200 D5:D100" xr:uid="{84A984B9-1FA9-41C1-B3A4-037DB499253D}">
      <formula1>$I$5:$I$9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8FB1-9CC5-4D2F-8C7A-299392E2C878}">
  <dimension ref="A1:Z40"/>
  <sheetViews>
    <sheetView topLeftCell="A4" workbookViewId="0">
      <selection activeCell="D8" sqref="D8"/>
    </sheetView>
  </sheetViews>
  <sheetFormatPr defaultRowHeight="15.75" x14ac:dyDescent="0.25"/>
  <cols>
    <col min="1" max="1" width="41.625" customWidth="1"/>
    <col min="2" max="2" width="3.375" customWidth="1"/>
    <col min="3" max="6" width="15.875" customWidth="1"/>
  </cols>
  <sheetData>
    <row r="1" spans="1:26" ht="23.25" x14ac:dyDescent="0.35">
      <c r="A1" s="28" t="s">
        <v>126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5">
      <c r="A2" s="29" t="s">
        <v>127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21" t="s">
        <v>128</v>
      </c>
      <c r="B4" s="19"/>
      <c r="C4" s="2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9" t="s">
        <v>129</v>
      </c>
      <c r="B5" s="19"/>
      <c r="C5" s="44">
        <v>46023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9" t="s">
        <v>130</v>
      </c>
      <c r="B6" s="19"/>
      <c r="C6" s="44">
        <v>46356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 t="s">
        <v>131</v>
      </c>
      <c r="B7" s="19"/>
      <c r="C7" s="45">
        <f ca="1">TODAY()</f>
        <v>46186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8.75" x14ac:dyDescent="0.3">
      <c r="A8" s="22" t="s">
        <v>132</v>
      </c>
      <c r="B8" s="19"/>
      <c r="C8" s="46">
        <f ca="1">DATEDIF(TODAY(),C6,"m")</f>
        <v>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9" t="s">
        <v>133</v>
      </c>
      <c r="B9" s="19"/>
      <c r="C9" s="47">
        <f>'Net Worth'!B9</f>
        <v>8000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 t="s">
        <v>134</v>
      </c>
      <c r="B10" s="19"/>
      <c r="C10" s="47">
        <f>'Net Worth'!C4</f>
        <v>2000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7.25" x14ac:dyDescent="0.3">
      <c r="A11" s="22" t="s">
        <v>135</v>
      </c>
      <c r="B11" s="19"/>
      <c r="C11" s="48">
        <f ca="1">C9+C8*C10</f>
        <v>18000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30" t="s">
        <v>14</v>
      </c>
      <c r="B13" s="19"/>
      <c r="C13" s="4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 t="s">
        <v>136</v>
      </c>
      <c r="B14" s="19"/>
      <c r="C14" s="47">
        <f>'Monthly Budget'!B20</f>
        <v>800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9" t="s">
        <v>137</v>
      </c>
      <c r="B15" s="19"/>
      <c r="C15" s="47">
        <f>C9</f>
        <v>8000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8.75" x14ac:dyDescent="0.3">
      <c r="A16" s="22" t="s">
        <v>138</v>
      </c>
      <c r="B16" s="19"/>
      <c r="C16" s="50">
        <f>IFERROR(C15/C14,0)</f>
        <v>10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21" t="s">
        <v>139</v>
      </c>
      <c r="B18" s="19"/>
      <c r="C18" s="25" t="s">
        <v>140</v>
      </c>
      <c r="D18" s="25" t="s">
        <v>141</v>
      </c>
      <c r="E18" s="51" t="s">
        <v>55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19" t="s">
        <v>142</v>
      </c>
      <c r="B19" s="19"/>
      <c r="C19" s="52">
        <f>3*$C$14</f>
        <v>2400</v>
      </c>
      <c r="D19" s="53">
        <f>IFERROR(MIN(1,$C$15/C19),0)</f>
        <v>1</v>
      </c>
      <c r="E19" s="19" t="str">
        <f>IF($C$15&gt;=C19,"✅ Funded","⚠ "&amp;TEXT(C19-$C$15,"""GH₵""#,##0")&amp;" to go")</f>
        <v>✅ Funded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19" t="s">
        <v>143</v>
      </c>
      <c r="B20" s="19"/>
      <c r="C20" s="52">
        <f>6*$C$14</f>
        <v>4800</v>
      </c>
      <c r="D20" s="53">
        <f>IFERROR(MIN(1,$C$15/C20),0)</f>
        <v>1</v>
      </c>
      <c r="E20" s="19" t="str">
        <f>IF($C$15&gt;=C20,"✅ Funded","⚠ "&amp;TEXT(C20-$C$15,"""GH₵""#,##0")&amp;" to go")</f>
        <v>✅ Funded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5">
      <c r="A21" s="19" t="s">
        <v>144</v>
      </c>
      <c r="B21" s="19"/>
      <c r="C21" s="52">
        <f>12*$C$14</f>
        <v>9600</v>
      </c>
      <c r="D21" s="53">
        <f>IFERROR(MIN(1,$C$15/C21),0)</f>
        <v>0.83333333333333337</v>
      </c>
      <c r="E21" s="19" t="str">
        <f>IF($C$15&gt;=C21,"✅ Funded","⚠ "&amp;TEXT(C21-$C$15,"""GH₵""#,##0")&amp;" to go")</f>
        <v>⚠ GH₵1,600 to go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0519-12B1-477B-8317-690A30C8FA1B}">
  <dimension ref="A1:Z40"/>
  <sheetViews>
    <sheetView topLeftCell="A19" workbookViewId="0"/>
  </sheetViews>
  <sheetFormatPr defaultRowHeight="15.75" x14ac:dyDescent="0.25"/>
  <cols>
    <col min="1" max="1" width="40" customWidth="1"/>
    <col min="2" max="4" width="15" customWidth="1"/>
    <col min="5" max="5" width="16.625" customWidth="1"/>
    <col min="6" max="6" width="25" customWidth="1"/>
  </cols>
  <sheetData>
    <row r="1" spans="1:26" ht="23.25" x14ac:dyDescent="0.35">
      <c r="A1" s="28" t="s">
        <v>145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25">
      <c r="A2" s="29" t="s">
        <v>146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21" t="s">
        <v>147</v>
      </c>
      <c r="B4" s="25" t="s">
        <v>139</v>
      </c>
      <c r="C4" s="25" t="s">
        <v>148</v>
      </c>
      <c r="D4" s="25" t="s">
        <v>149</v>
      </c>
      <c r="E4" s="51" t="s">
        <v>150</v>
      </c>
      <c r="F4" s="21" t="s">
        <v>55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9" t="s">
        <v>151</v>
      </c>
      <c r="B5" s="54">
        <v>240</v>
      </c>
      <c r="C5" s="52">
        <f>B5-'Net Worth'!C6</f>
        <v>0</v>
      </c>
      <c r="D5" s="53">
        <f>IFERROR(MIN(1,C5/B5),0)</f>
        <v>0</v>
      </c>
      <c r="E5" s="55">
        <v>46234</v>
      </c>
      <c r="F5" s="19" t="str">
        <f>IF(D5&gt;=1,"✅ Done","In progress")</f>
        <v>In progress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9" t="s">
        <v>152</v>
      </c>
      <c r="B6" s="54">
        <v>10000</v>
      </c>
      <c r="C6" s="52">
        <f>'Net Worth'!B9</f>
        <v>8000</v>
      </c>
      <c r="D6" s="53">
        <f>IFERROR(MIN(1,C6/B6),0)</f>
        <v>0.8</v>
      </c>
      <c r="E6" s="55">
        <v>46265</v>
      </c>
      <c r="F6" s="19" t="str">
        <f>IF(D6&gt;=1,"✅ Done","In progress")</f>
        <v>In progress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 t="s">
        <v>153</v>
      </c>
      <c r="B7" s="54">
        <v>20000</v>
      </c>
      <c r="C7" s="52">
        <f>'Net Worth'!B9</f>
        <v>8000</v>
      </c>
      <c r="D7" s="53">
        <f>IFERROR(MIN(1,C7/B7),0)</f>
        <v>0.4</v>
      </c>
      <c r="E7" s="55">
        <v>46446</v>
      </c>
      <c r="F7" s="19" t="str">
        <f>IF(D7&gt;=1,"✅ Done","In progress")</f>
        <v>In progress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9" t="s">
        <v>173</v>
      </c>
      <c r="B8" s="47">
        <f>'Contract &amp; Runway'!C20</f>
        <v>4800</v>
      </c>
      <c r="C8" s="47">
        <f>'Contract &amp; Runway'!C15</f>
        <v>8000</v>
      </c>
      <c r="D8" s="53">
        <f>IFERROR(MIN(1,C8/B8),0)</f>
        <v>1</v>
      </c>
      <c r="E8" s="55">
        <f>'Contract &amp; Runway'!C6</f>
        <v>46356</v>
      </c>
      <c r="F8" s="19" t="str">
        <f>IF(D8&gt;=1,"✅ Done","In progress")</f>
        <v>✅ Done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9" t="s">
        <v>174</v>
      </c>
      <c r="B9" s="54">
        <v>20000</v>
      </c>
      <c r="C9" s="47">
        <f>'Net Worth'!J9</f>
        <v>7760</v>
      </c>
      <c r="D9" s="53">
        <f>IFERROR(MIN(1,C9/B9),0)</f>
        <v>0.38800000000000001</v>
      </c>
      <c r="E9" s="55">
        <f>DATE(2026,12,31)</f>
        <v>46387</v>
      </c>
      <c r="F9" s="19" t="str">
        <f>IF(D9&gt;=1,"✅ Done","In progress")</f>
        <v>In progress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37" t="s">
        <v>154</v>
      </c>
      <c r="B11" s="56"/>
      <c r="C11" s="56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 t="s">
        <v>136</v>
      </c>
      <c r="B12" s="19"/>
      <c r="C12" s="47">
        <f>'Monthly Budget'!C20</f>
        <v>800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9" t="s">
        <v>155</v>
      </c>
      <c r="B13" s="19"/>
      <c r="C13" s="52">
        <f>C12*12</f>
        <v>9600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 t="s">
        <v>156</v>
      </c>
      <c r="B14" s="19"/>
      <c r="C14" s="57">
        <v>25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22" t="s">
        <v>157</v>
      </c>
      <c r="B15" s="19"/>
      <c r="C15" s="58">
        <f>C13*C14</f>
        <v>240000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9" t="s">
        <v>158</v>
      </c>
      <c r="B16" s="19"/>
      <c r="C16" s="47">
        <f>'Net Worth'!J9</f>
        <v>7760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8.75" x14ac:dyDescent="0.3">
      <c r="A17" s="22" t="s">
        <v>159</v>
      </c>
      <c r="B17" s="19"/>
      <c r="C17" s="59">
        <f>IFERROR(C16/C15,0)</f>
        <v>3.2333333333333332E-2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</sheetData>
  <conditionalFormatting sqref="D5:D9">
    <cfRule type="dataBar" priority="1">
      <dataBar>
        <cfvo type="num" val="0"/>
        <cfvo type="num" val="1"/>
        <color rgb="FF1F6FEB"/>
      </dataBar>
      <extLst>
        <ext xmlns:x14="http://schemas.microsoft.com/office/spreadsheetml/2009/9/main" uri="{B025F937-C7B1-47D3-B67F-A62EFF666E3E}">
          <x14:id>{F1BE4F63-882F-41C1-AA07-CBAB109F84B2}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BE4F63-882F-41C1-AA07-CBAB109F84B2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D5:D9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Dashboard</vt:lpstr>
      <vt:lpstr>Budget Dashboard</vt:lpstr>
      <vt:lpstr>Monthly Budget</vt:lpstr>
      <vt:lpstr>Net Worth</vt:lpstr>
      <vt:lpstr>Weekly Review</vt:lpstr>
      <vt:lpstr>Principles</vt:lpstr>
      <vt:lpstr>Transactions</vt:lpstr>
      <vt:lpstr>Contract &amp; Runway</vt:lpstr>
      <vt:lpstr>Goals &amp; FIRE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Chris</cp:lastModifiedBy>
  <dcterms:created xsi:type="dcterms:W3CDTF">2018-06-07T17:34:22Z</dcterms:created>
  <dcterms:modified xsi:type="dcterms:W3CDTF">2026-06-13T18:44:44Z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